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hrn" sheetId="1" r:id="rId1"/>
    <sheet name="Obchodníci" sheetId="2" r:id="rId2"/>
    <sheet name="Zákazníci" sheetId="3" r:id="rId3"/>
    <sheet name="Produkty" sheetId="4" r:id="rId4"/>
    <sheet name="Největší DL" sheetId="5" r:id="rId5"/>
    <sheet name="Vývoj firmy" sheetId="6" r:id="rId6"/>
    <sheet name="Změny zákazníků" sheetId="7" r:id="rId7"/>
    <sheet name="Zakázky" sheetId="8" r:id="rId8"/>
    <sheet name="Kontrola dat" sheetId="9" r:id="rId9"/>
  </sheets>
  <definedNames>
    <definedName name="_xlnm._FilterDatabase" localSheetId="8" hidden="1">'Kontrola dat'!$A$1:$J$2</definedName>
    <definedName name="_xlnm._FilterDatabase" localSheetId="5" hidden="1">'Vývoj firmy'!$A$1:$J$9</definedName>
    <definedName name="_xlnm._FilterDatabase" localSheetId="7" hidden="1">Zakázky!$A$1:$F$6</definedName>
    <definedName name="_xlnm._FilterDatabase" localSheetId="6" hidden="1">'Změny zákazníků'!$A$1:$H$31</definedName>
  </definedNames>
  <calcPr calcId="124519" fullCalcOnLoad="1"/>
</workbook>
</file>

<file path=xl/sharedStrings.xml><?xml version="1.0" encoding="utf-8"?>
<sst xmlns="http://schemas.openxmlformats.org/spreadsheetml/2006/main" count="372" uniqueCount="174">
  <si>
    <t>TURTO – Měsíční přehledy</t>
  </si>
  <si>
    <t>Obrat</t>
  </si>
  <si>
    <t>Hrubý zisk</t>
  </si>
  <si>
    <t>Marže</t>
  </si>
  <si>
    <t>Počet DL</t>
  </si>
  <si>
    <t>Ø hodnota DL</t>
  </si>
  <si>
    <t>Režijní listy</t>
  </si>
  <si>
    <t>Měsíc</t>
  </si>
  <si>
    <t>Zisk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</si>
  <si>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</si>
  <si>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</si>
  <si>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</si>
  <si>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</si>
  <si>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</si>
  <si>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</si>
  <si>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</si>
  <si>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</si>
  <si>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</si>
  <si>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</si>
  <si>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</si>
  <si>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</si>
  <si>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Obchodník</t>
  </si>
  <si>
    <t>Ø DL</t>
  </si>
  <si>
    <t>Jirka</t>
  </si>
  <si>
    <t>Honza</t>
  </si>
  <si>
    <t>Nezařazené</t>
  </si>
  <si>
    <t>Milan</t>
  </si>
  <si>
    <t>Zákazník</t>
  </si>
  <si>
    <t>Dostupný zisk</t>
  </si>
  <si>
    <t>Testovací zákazník 01 – modelová stavební společnost</t>
  </si>
  <si>
    <t>Testovací zákazník 02 – modelová stavební společnost</t>
  </si>
  <si>
    <t>Testovací zákazník 03 – modelová stavební společnost</t>
  </si>
  <si>
    <t>Testovací zákazník 04 – modelová stavební společnost</t>
  </si>
  <si>
    <t>Testovací zákazník 05 – modelová stavební společnost</t>
  </si>
  <si>
    <t>Testovací zákazník 06 – modelová stavební společnost</t>
  </si>
  <si>
    <t>Testovací zákazník 07 – modelová stavební společnost</t>
  </si>
  <si>
    <t>Testovací zákazník 08 – modelová stavební společnost</t>
  </si>
  <si>
    <t>Testovací zákazník 09 – modelová stavební společnost</t>
  </si>
  <si>
    <t>Testovací zákazník 10 – modelová stavební společnost</t>
  </si>
  <si>
    <t>Testovací zákazník 11 – modelová stavební společnost</t>
  </si>
  <si>
    <t>Testovací zákazník 12 – modelová stavební společnost</t>
  </si>
  <si>
    <t>Testovací zákazník 13 – modelová stavební společnost</t>
  </si>
  <si>
    <t>Testovací zákazník 14 – modelová stavební společnost</t>
  </si>
  <si>
    <t>Testovací zákazník 15 – modelová stavební společnost</t>
  </si>
  <si>
    <t>Testovací zákazník 16 – modelová stavební společnost</t>
  </si>
  <si>
    <t>Testovací zákazník 17 – modelová stavební společnost</t>
  </si>
  <si>
    <t>Testovací zákazník 18 – modelová stavební společnost</t>
  </si>
  <si>
    <t>Testovací zákazník 19 – modelová stavební společnost</t>
  </si>
  <si>
    <t>Testovací zákazník 20 – modelová stavební společnost</t>
  </si>
  <si>
    <t>Testovací zákazník 21 – modelová stavební společnost</t>
  </si>
  <si>
    <t>Testovací zákazník 22 – modelová stavební společnost</t>
  </si>
  <si>
    <t>Testovací zákazník 23 – modelová stavební společnost</t>
  </si>
  <si>
    <t>Testovací zákazník 24 – modelová stavební společnost</t>
  </si>
  <si>
    <t>Testovací zákazník 25 – modelová stavební společnost</t>
  </si>
  <si>
    <t>Testovací zákazník 26 – modelová stavební společnost</t>
  </si>
  <si>
    <t>Testovací zákazník 27 – modelová stavební společnost</t>
  </si>
  <si>
    <t>Testovací zákazník 28 – modelová stavební společnost</t>
  </si>
  <si>
    <t>—</t>
  </si>
  <si>
    <t>Testovací zákazník 29 – modelová stavební společnost</t>
  </si>
  <si>
    <t>Testovací zákazník 30 – modelová stavební společnost</t>
  </si>
  <si>
    <t>Pozn.: Zisk zákazníků je dostupný pouze pro měsíce s importovaným reportem Zisk (zásoby).</t>
  </si>
  <si>
    <t>Kód</t>
  </si>
  <si>
    <t>Produkt</t>
  </si>
  <si>
    <t>Množství</t>
  </si>
  <si>
    <t>P1</t>
  </si>
  <si>
    <t>Testovací výrobek</t>
  </si>
  <si>
    <t>P2</t>
  </si>
  <si>
    <t>P3</t>
  </si>
  <si>
    <t>P0</t>
  </si>
  <si>
    <t>DL</t>
  </si>
  <si>
    <t>Středisko</t>
  </si>
  <si>
    <t>Projekt</t>
  </si>
  <si>
    <t>Částka</t>
  </si>
  <si>
    <t>26SV00001</t>
  </si>
  <si>
    <t>Testovací zakázka 1</t>
  </si>
  <si>
    <t>26SV00002</t>
  </si>
  <si>
    <t>Testovací zakázka 2</t>
  </si>
  <si>
    <t>26SV00003</t>
  </si>
  <si>
    <t>Testovací zakázka 3</t>
  </si>
  <si>
    <t>26SV00004</t>
  </si>
  <si>
    <t>Testovací zakázka 4</t>
  </si>
  <si>
    <t>26SV00005</t>
  </si>
  <si>
    <t>Testovací zakázka 0</t>
  </si>
  <si>
    <t>26SV00006</t>
  </si>
  <si>
    <t>26SV00007</t>
  </si>
  <si>
    <t>26SV00008</t>
  </si>
  <si>
    <t>26SV00009</t>
  </si>
  <si>
    <t>26SV00010</t>
  </si>
  <si>
    <t>26SV00011</t>
  </si>
  <si>
    <t>26SV00012</t>
  </si>
  <si>
    <t>26SV00013</t>
  </si>
  <si>
    <t>26SV00014</t>
  </si>
  <si>
    <t>26SV00015</t>
  </si>
  <si>
    <t>26SV00016</t>
  </si>
  <si>
    <t>26SV00017</t>
  </si>
  <si>
    <t>26SV00018</t>
  </si>
  <si>
    <t>26SV00019</t>
  </si>
  <si>
    <t>26SV00020</t>
  </si>
  <si>
    <t>26SV00021</t>
  </si>
  <si>
    <t>26SV00022</t>
  </si>
  <si>
    <t>26SV00023</t>
  </si>
  <si>
    <t>26SV00024</t>
  </si>
  <si>
    <t>26SV00025</t>
  </si>
  <si>
    <t>26SV00026</t>
  </si>
  <si>
    <t>26SV00027</t>
  </si>
  <si>
    <t>26SV00028</t>
  </si>
  <si>
    <t>26SV00029</t>
  </si>
  <si>
    <t>26SV00030</t>
  </si>
  <si>
    <t>Období</t>
  </si>
  <si>
    <t>Obrat loni</t>
  </si>
  <si>
    <t>Rozdíl Kč</t>
  </si>
  <si>
    <t>Změna %</t>
  </si>
  <si>
    <t>Marže %</t>
  </si>
  <si>
    <t>Průměr DL</t>
  </si>
  <si>
    <t>Podklady</t>
  </si>
  <si>
    <t>2026-01</t>
  </si>
  <si>
    <t>Bez dat</t>
  </si>
  <si>
    <t>2026-02</t>
  </si>
  <si>
    <t>2026-03</t>
  </si>
  <si>
    <t>2026-04</t>
  </si>
  <si>
    <t>2026-05</t>
  </si>
  <si>
    <t>2026-06</t>
  </si>
  <si>
    <t>2026-07</t>
  </si>
  <si>
    <t>2026-08</t>
  </si>
  <si>
    <t>Zisk je částečný</t>
  </si>
  <si>
    <t>Dle dostupných dat. Prázdná hodnota = chybí podklad. Částky bez DPH; dostupný zisk není čistý zisk firmy.</t>
  </si>
  <si>
    <t>Stav</t>
  </si>
  <si>
    <t>První evidovaný odběr</t>
  </si>
  <si>
    <t>Růst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</si>
  <si>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</si>
  <si>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</si>
  <si>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</si>
  <si>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</si>
  <si>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</si>
  <si>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</si>
  <si>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</si>
  <si>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Pokles</t>
  </si>
  <si>
    <t>2025-08-08</t>
  </si>
  <si>
    <t>2025-08-09</t>
  </si>
  <si>
    <t>2025-08-28</t>
  </si>
  <si>
    <t>2025-08-10</t>
  </si>
  <si>
    <t>2025-08-27</t>
  </si>
  <si>
    <t>2025-08-11</t>
  </si>
  <si>
    <t>2025-08-26</t>
  </si>
  <si>
    <t>2025-08-12</t>
  </si>
  <si>
    <t>2025-08-25</t>
  </si>
  <si>
    <t>2025-08-13</t>
  </si>
  <si>
    <t>2025-08-24</t>
  </si>
  <si>
    <t>2025-08-14</t>
  </si>
  <si>
    <t>2025-08-23</t>
  </si>
  <si>
    <t>2025-08-15</t>
  </si>
  <si>
    <t>2025-08-22</t>
  </si>
  <si>
    <t>2025-08-16</t>
  </si>
  <si>
    <t>2025-08-21</t>
  </si>
  <si>
    <t>2025-08-17</t>
  </si>
  <si>
    <t>2025-08-20</t>
  </si>
  <si>
    <t>2025-08-18</t>
  </si>
  <si>
    <t>2025-08-19</t>
  </si>
  <si>
    <t>Zakázka</t>
  </si>
  <si>
    <t>DL se ziskem / celkem</t>
  </si>
  <si>
    <t>6 / 6</t>
  </si>
  <si>
    <t>5 / 6</t>
  </si>
  <si>
    <t>DL z POHODY</t>
  </si>
  <si>
    <t>Chybí export DL</t>
  </si>
  <si>
    <t>DL se ziskem</t>
  </si>
  <si>
    <t>Pokrytí %</t>
  </si>
  <si>
    <t>Zdroj zisku</t>
  </si>
  <si>
    <t>Položek</t>
  </si>
  <si>
    <t>Položek s prodejem</t>
  </si>
  <si>
    <t>Poslední datum</t>
  </si>
  <si>
    <t>Co doplnit</t>
  </si>
  <si>
    <t>Částečný zisk</t>
  </si>
  <si>
    <t>2026-08-28</t>
  </si>
  <si>
    <t>Doplnit zisk k 3 DL; Středisko: 7</t>
  </si>
</sst>
</file>

<file path=xl/styles.xml><?xml version="1.0" encoding="utf-8"?>
<styleSheet xmlns="http://schemas.openxmlformats.org/spreadsheetml/2006/main">
  <numFmts count="4">
    <numFmt numFmtId="164" formatCode="# ##0 &quot;Kč&quot;"/>
    <numFmt numFmtId="165" formatCode="0.0%"/>
    <numFmt numFmtId="166" formatCode="# ##0.00 &quot;Kč&quot;"/>
    <numFmt numFmtId="167" formatCode="0.0&quot; %&quot;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64748B"/>
      <name val="Calibri"/>
      <family val="2"/>
      <scheme val="minor"/>
    </font>
    <font>
      <sz val="11"/>
      <color rgb="FF253246"/>
      <name val="Calibri"/>
      <family val="2"/>
      <scheme val="minor"/>
    </font>
    <font>
      <b/>
      <sz val="16"/>
      <color rgb="FF1720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3" fillId="0" borderId="0" xfId="0" applyFont="1"/>
    <xf numFmtId="0" fontId="5" fillId="2" borderId="0" xfId="0" applyFont="1" applyFill="1" applyAlignment="1">
      <alignment wrapText="1"/>
    </xf>
    <xf numFmtId="0" fontId="0" fillId="0" borderId="0" xfId="0" applyAlignment="1">
      <alignment vertical="top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Obrat po měsících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Obrat</c:v>
          </c:tx>
          <c:spPr>
            <a:solidFill>
              <a:srgbClr val="1CC8A0"/>
            </a:solidFill>
            <a:ln>
              <a:noFill/>
            </a:ln>
          </c:spPr>
          <c:cat>
            <c:strRef>
              <c:f>Souhrn!$B$11:$B$22</c:f>
              <c:strCache>
                <c:ptCount val="12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  <c:pt idx="8">
                  <c:v>Září</c:v>
                </c:pt>
                <c:pt idx="9">
                  <c:v>Říjen</c:v>
                </c:pt>
                <c:pt idx="10">
                  <c:v>Listopad</c:v>
                </c:pt>
                <c:pt idx="11">
                  <c:v>Prosinec</c:v>
                </c:pt>
              </c:strCache>
            </c:strRef>
          </c:cat>
          <c:val>
            <c:numRef>
              <c:f>Souhrn!$C$11:$C$22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697500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10</xdr:col>
      <xdr:colOff>428625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22"/>
  <sheetViews>
    <sheetView showGridLines="0" tabSelected="1" workbookViewId="0"/>
  </sheetViews>
  <sheetFormatPr defaultRowHeight="15"/>
  <cols>
    <col min="1" max="1" width="3.7109375" customWidth="1"/>
    <col min="2" max="7" width="20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6" spans="2:7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2:7">
      <c r="B7" s="3">
        <v>697500</v>
      </c>
      <c r="C7" s="3">
        <v>137700</v>
      </c>
      <c r="D7" s="4"/>
      <c r="E7" s="5">
        <v>30</v>
      </c>
      <c r="F7" s="3">
        <v>23250</v>
      </c>
      <c r="G7" s="3">
        <v>0</v>
      </c>
    </row>
    <row r="10" spans="2:7">
      <c r="B10" s="6" t="s">
        <v>7</v>
      </c>
      <c r="C10" s="7" t="s">
        <v>1</v>
      </c>
      <c r="D10" s="7" t="s">
        <v>8</v>
      </c>
    </row>
    <row r="11" spans="2:7">
      <c r="B11" s="8" t="s">
        <v>9</v>
      </c>
      <c r="C11" s="3"/>
      <c r="D11" s="3"/>
    </row>
    <row r="12" spans="2:7">
      <c r="B12" s="8" t="s">
        <v>10</v>
      </c>
      <c r="C12" s="3"/>
      <c r="D12" s="3"/>
    </row>
    <row r="13" spans="2:7">
      <c r="B13" s="8" t="s">
        <v>11</v>
      </c>
      <c r="C13" s="3"/>
      <c r="D13" s="3"/>
    </row>
    <row r="14" spans="2:7">
      <c r="B14" s="8" t="s">
        <v>12</v>
      </c>
      <c r="C14" s="3"/>
      <c r="D14" s="3"/>
    </row>
    <row r="15" spans="2:7">
      <c r="B15" s="8" t="s">
        <v>13</v>
      </c>
      <c r="C15" s="3"/>
      <c r="D15" s="3"/>
    </row>
    <row r="16" spans="2:7">
      <c r="B16" s="8" t="s">
        <v>14</v>
      </c>
      <c r="C16" s="3"/>
      <c r="D16" s="3"/>
    </row>
    <row r="17" spans="2:4">
      <c r="B17" s="8" t="s">
        <v>15</v>
      </c>
      <c r="C17" s="3"/>
      <c r="D17" s="3"/>
    </row>
    <row r="18" spans="2:4">
      <c r="B18" s="8" t="s">
        <v>16</v>
      </c>
      <c r="C18" s="3">
        <v>697500</v>
      </c>
      <c r="D18" s="3">
        <v>137700</v>
      </c>
    </row>
    <row r="19" spans="2:4">
      <c r="B19" s="8" t="s">
        <v>17</v>
      </c>
      <c r="C19" s="3"/>
      <c r="D19" s="3"/>
    </row>
    <row r="20" spans="2:4">
      <c r="B20" s="8" t="s">
        <v>18</v>
      </c>
      <c r="C20" s="3"/>
      <c r="D20" s="3"/>
    </row>
    <row r="21" spans="2:4">
      <c r="B21" s="8" t="s">
        <v>19</v>
      </c>
      <c r="C21" s="3"/>
      <c r="D21" s="3"/>
    </row>
    <row r="22" spans="2:4">
      <c r="B22" s="8" t="s">
        <v>20</v>
      </c>
      <c r="C22" s="3"/>
      <c r="D22" s="3"/>
    </row>
  </sheetData>
  <mergeCells count="1">
    <mergeCell ref="B2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/>
  </sheetViews>
  <sheetFormatPr defaultRowHeight="15"/>
  <cols>
    <col min="1" max="1" width="16.7109375" customWidth="1"/>
    <col min="2" max="6" width="18.7109375" customWidth="1"/>
  </cols>
  <sheetData>
    <row r="1" spans="1:6">
      <c r="A1" s="6" t="s">
        <v>21</v>
      </c>
      <c r="B1" s="7" t="s">
        <v>1</v>
      </c>
      <c r="C1" s="7" t="s">
        <v>8</v>
      </c>
      <c r="D1" s="7" t="s">
        <v>3</v>
      </c>
      <c r="E1" s="7" t="s">
        <v>4</v>
      </c>
      <c r="F1" s="7" t="s">
        <v>22</v>
      </c>
    </row>
    <row r="2" spans="1:6">
      <c r="A2" t="s">
        <v>23</v>
      </c>
      <c r="B2" s="3">
        <v>192000</v>
      </c>
      <c r="C2" s="3">
        <v>37800</v>
      </c>
      <c r="D2" s="4"/>
      <c r="E2">
        <v>8</v>
      </c>
      <c r="F2" s="3">
        <v>24000</v>
      </c>
    </row>
    <row r="3" spans="1:6">
      <c r="A3" t="s">
        <v>24</v>
      </c>
      <c r="B3" s="3">
        <v>180000</v>
      </c>
      <c r="C3" s="3">
        <v>35700</v>
      </c>
      <c r="D3" s="4"/>
      <c r="E3">
        <v>8</v>
      </c>
      <c r="F3" s="3">
        <v>22500</v>
      </c>
    </row>
    <row r="4" spans="1:6">
      <c r="A4" t="s">
        <v>25</v>
      </c>
      <c r="B4" s="3">
        <v>168000</v>
      </c>
      <c r="C4" s="3">
        <v>33600</v>
      </c>
      <c r="D4" s="4"/>
      <c r="E4">
        <v>7</v>
      </c>
      <c r="F4" s="3">
        <v>24000</v>
      </c>
    </row>
    <row r="5" spans="1:6">
      <c r="A5" t="s">
        <v>26</v>
      </c>
      <c r="B5" s="3">
        <v>157500</v>
      </c>
      <c r="C5" s="3">
        <v>30600</v>
      </c>
      <c r="D5" s="4"/>
      <c r="E5">
        <v>7</v>
      </c>
      <c r="F5" s="3">
        <v>22500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showGridLines="0" workbookViewId="0"/>
  </sheetViews>
  <sheetFormatPr defaultRowHeight="15"/>
  <cols>
    <col min="1" max="1" width="38.7109375" customWidth="1"/>
    <col min="2" max="5" width="18.7109375" customWidth="1"/>
  </cols>
  <sheetData>
    <row r="1" spans="1:5">
      <c r="A1" s="6" t="s">
        <v>27</v>
      </c>
      <c r="B1" s="7" t="s">
        <v>1</v>
      </c>
      <c r="C1" s="7" t="s">
        <v>28</v>
      </c>
      <c r="D1" s="7" t="s">
        <v>3</v>
      </c>
      <c r="E1" s="7" t="s">
        <v>4</v>
      </c>
    </row>
    <row r="2" spans="1:5">
      <c r="A2" t="s">
        <v>29</v>
      </c>
      <c r="B2" s="3">
        <v>45000</v>
      </c>
      <c r="C2" s="3">
        <v>9000</v>
      </c>
      <c r="D2" s="4">
        <v>0.2</v>
      </c>
      <c r="E2">
        <v>1</v>
      </c>
    </row>
    <row r="3" spans="1:5">
      <c r="A3" t="s">
        <v>30</v>
      </c>
      <c r="B3" s="3">
        <v>43500</v>
      </c>
      <c r="C3" s="3">
        <v>8700</v>
      </c>
      <c r="D3" s="4">
        <v>0.2</v>
      </c>
      <c r="E3">
        <v>1</v>
      </c>
    </row>
    <row r="4" spans="1:5">
      <c r="A4" t="s">
        <v>31</v>
      </c>
      <c r="B4" s="3">
        <v>42000</v>
      </c>
      <c r="C4" s="3">
        <v>8400</v>
      </c>
      <c r="D4" s="4">
        <v>0.2</v>
      </c>
      <c r="E4">
        <v>1</v>
      </c>
    </row>
    <row r="5" spans="1:5">
      <c r="A5" t="s">
        <v>32</v>
      </c>
      <c r="B5" s="3">
        <v>40500</v>
      </c>
      <c r="C5" s="3">
        <v>8100</v>
      </c>
      <c r="D5" s="4">
        <v>0.2</v>
      </c>
      <c r="E5">
        <v>1</v>
      </c>
    </row>
    <row r="6" spans="1:5">
      <c r="A6" t="s">
        <v>33</v>
      </c>
      <c r="B6" s="3">
        <v>39000</v>
      </c>
      <c r="C6" s="3">
        <v>7800</v>
      </c>
      <c r="D6" s="4">
        <v>0.2</v>
      </c>
      <c r="E6">
        <v>1</v>
      </c>
    </row>
    <row r="7" spans="1:5">
      <c r="A7" t="s">
        <v>34</v>
      </c>
      <c r="B7" s="3">
        <v>37500</v>
      </c>
      <c r="C7" s="3">
        <v>7500</v>
      </c>
      <c r="D7" s="4">
        <v>0.2</v>
      </c>
      <c r="E7">
        <v>1</v>
      </c>
    </row>
    <row r="8" spans="1:5">
      <c r="A8" t="s">
        <v>35</v>
      </c>
      <c r="B8" s="3">
        <v>36000</v>
      </c>
      <c r="C8" s="3">
        <v>7200</v>
      </c>
      <c r="D8" s="4">
        <v>0.2</v>
      </c>
      <c r="E8">
        <v>1</v>
      </c>
    </row>
    <row r="9" spans="1:5">
      <c r="A9" t="s">
        <v>36</v>
      </c>
      <c r="B9" s="3">
        <v>34500</v>
      </c>
      <c r="C9" s="3">
        <v>6900</v>
      </c>
      <c r="D9" s="4">
        <v>0.2</v>
      </c>
      <c r="E9">
        <v>1</v>
      </c>
    </row>
    <row r="10" spans="1:5">
      <c r="A10" t="s">
        <v>37</v>
      </c>
      <c r="B10" s="3">
        <v>33000</v>
      </c>
      <c r="C10" s="3">
        <v>6600</v>
      </c>
      <c r="D10" s="4">
        <v>0.2</v>
      </c>
      <c r="E10">
        <v>1</v>
      </c>
    </row>
    <row r="11" spans="1:5">
      <c r="A11" t="s">
        <v>38</v>
      </c>
      <c r="B11" s="3">
        <v>31500</v>
      </c>
      <c r="C11" s="3">
        <v>6300</v>
      </c>
      <c r="D11" s="4">
        <v>0.2</v>
      </c>
      <c r="E11">
        <v>1</v>
      </c>
    </row>
    <row r="12" spans="1:5">
      <c r="A12" t="s">
        <v>39</v>
      </c>
      <c r="B12" s="3">
        <v>30000</v>
      </c>
      <c r="C12" s="3">
        <v>6000</v>
      </c>
      <c r="D12" s="4">
        <v>0.2</v>
      </c>
      <c r="E12">
        <v>1</v>
      </c>
    </row>
    <row r="13" spans="1:5">
      <c r="A13" t="s">
        <v>40</v>
      </c>
      <c r="B13" s="3">
        <v>28500</v>
      </c>
      <c r="C13" s="3">
        <v>5700</v>
      </c>
      <c r="D13" s="4">
        <v>0.2</v>
      </c>
      <c r="E13">
        <v>1</v>
      </c>
    </row>
    <row r="14" spans="1:5">
      <c r="A14" t="s">
        <v>41</v>
      </c>
      <c r="B14" s="3">
        <v>27000</v>
      </c>
      <c r="C14" s="3">
        <v>5400</v>
      </c>
      <c r="D14" s="4">
        <v>0.2</v>
      </c>
      <c r="E14">
        <v>1</v>
      </c>
    </row>
    <row r="15" spans="1:5">
      <c r="A15" t="s">
        <v>42</v>
      </c>
      <c r="B15" s="3">
        <v>25500</v>
      </c>
      <c r="C15" s="3">
        <v>5100</v>
      </c>
      <c r="D15" s="4">
        <v>0.2</v>
      </c>
      <c r="E15">
        <v>1</v>
      </c>
    </row>
    <row r="16" spans="1:5">
      <c r="A16" t="s">
        <v>43</v>
      </c>
      <c r="B16" s="3">
        <v>24000</v>
      </c>
      <c r="C16" s="3">
        <v>4800</v>
      </c>
      <c r="D16" s="4">
        <v>0.2</v>
      </c>
      <c r="E16">
        <v>1</v>
      </c>
    </row>
    <row r="17" spans="1:5">
      <c r="A17" t="s">
        <v>44</v>
      </c>
      <c r="B17" s="3">
        <v>22500</v>
      </c>
      <c r="C17" s="3">
        <v>4500</v>
      </c>
      <c r="D17" s="4">
        <v>0.2</v>
      </c>
      <c r="E17">
        <v>1</v>
      </c>
    </row>
    <row r="18" spans="1:5">
      <c r="A18" t="s">
        <v>45</v>
      </c>
      <c r="B18" s="3">
        <v>21000</v>
      </c>
      <c r="C18" s="3">
        <v>4200</v>
      </c>
      <c r="D18" s="4">
        <v>0.2</v>
      </c>
      <c r="E18">
        <v>1</v>
      </c>
    </row>
    <row r="19" spans="1:5">
      <c r="A19" t="s">
        <v>46</v>
      </c>
      <c r="B19" s="3">
        <v>19500</v>
      </c>
      <c r="C19" s="3">
        <v>3900</v>
      </c>
      <c r="D19" s="4">
        <v>0.2</v>
      </c>
      <c r="E19">
        <v>1</v>
      </c>
    </row>
    <row r="20" spans="1:5">
      <c r="A20" t="s">
        <v>47</v>
      </c>
      <c r="B20" s="3">
        <v>18000</v>
      </c>
      <c r="C20" s="3">
        <v>3600</v>
      </c>
      <c r="D20" s="4">
        <v>0.2</v>
      </c>
      <c r="E20">
        <v>1</v>
      </c>
    </row>
    <row r="21" spans="1:5">
      <c r="A21" t="s">
        <v>48</v>
      </c>
      <c r="B21" s="3">
        <v>16500</v>
      </c>
      <c r="C21" s="3">
        <v>3300</v>
      </c>
      <c r="D21" s="4">
        <v>0.2</v>
      </c>
      <c r="E21">
        <v>1</v>
      </c>
    </row>
    <row r="22" spans="1:5">
      <c r="A22" t="s">
        <v>49</v>
      </c>
      <c r="B22" s="3">
        <v>15000</v>
      </c>
      <c r="C22" s="3">
        <v>3000</v>
      </c>
      <c r="D22" s="4">
        <v>0.2</v>
      </c>
      <c r="E22">
        <v>1</v>
      </c>
    </row>
    <row r="23" spans="1:5">
      <c r="A23" t="s">
        <v>50</v>
      </c>
      <c r="B23" s="3">
        <v>13500</v>
      </c>
      <c r="C23" s="3">
        <v>2700</v>
      </c>
      <c r="D23" s="4">
        <v>0.2</v>
      </c>
      <c r="E23">
        <v>1</v>
      </c>
    </row>
    <row r="24" spans="1:5">
      <c r="A24" t="s">
        <v>51</v>
      </c>
      <c r="B24" s="3">
        <v>12000</v>
      </c>
      <c r="C24" s="3">
        <v>2400</v>
      </c>
      <c r="D24" s="4">
        <v>0.2</v>
      </c>
      <c r="E24">
        <v>1</v>
      </c>
    </row>
    <row r="25" spans="1:5">
      <c r="A25" t="s">
        <v>52</v>
      </c>
      <c r="B25" s="3">
        <v>10500</v>
      </c>
      <c r="C25" s="3">
        <v>2100</v>
      </c>
      <c r="D25" s="4">
        <v>0.2</v>
      </c>
      <c r="E25">
        <v>1</v>
      </c>
    </row>
    <row r="26" spans="1:5">
      <c r="A26" t="s">
        <v>53</v>
      </c>
      <c r="B26" s="3">
        <v>9000</v>
      </c>
      <c r="C26" s="3">
        <v>1800</v>
      </c>
      <c r="D26" s="4">
        <v>0.2</v>
      </c>
      <c r="E26">
        <v>1</v>
      </c>
    </row>
    <row r="27" spans="1:5">
      <c r="A27" t="s">
        <v>54</v>
      </c>
      <c r="B27" s="3">
        <v>7500</v>
      </c>
      <c r="C27" s="3">
        <v>1500</v>
      </c>
      <c r="D27" s="4">
        <v>0.2</v>
      </c>
      <c r="E27">
        <v>1</v>
      </c>
    </row>
    <row r="28" spans="1:5">
      <c r="A28" t="s">
        <v>55</v>
      </c>
      <c r="B28" s="3">
        <v>6000</v>
      </c>
      <c r="C28" s="3">
        <v>1200</v>
      </c>
      <c r="D28" s="4">
        <v>0.2</v>
      </c>
      <c r="E28">
        <v>1</v>
      </c>
    </row>
    <row r="29" spans="1:5">
      <c r="A29" t="s">
        <v>56</v>
      </c>
      <c r="B29" s="3">
        <v>4500</v>
      </c>
      <c r="C29" t="s">
        <v>57</v>
      </c>
      <c r="D29" t="s">
        <v>57</v>
      </c>
      <c r="E29">
        <v>1</v>
      </c>
    </row>
    <row r="30" spans="1:5">
      <c r="A30" t="s">
        <v>58</v>
      </c>
      <c r="B30" s="3">
        <v>3000</v>
      </c>
      <c r="C30" t="s">
        <v>57</v>
      </c>
      <c r="D30" t="s">
        <v>57</v>
      </c>
      <c r="E30">
        <v>1</v>
      </c>
    </row>
    <row r="31" spans="1:5">
      <c r="A31" t="s">
        <v>59</v>
      </c>
      <c r="B31" s="3">
        <v>1500</v>
      </c>
      <c r="C31" t="s">
        <v>57</v>
      </c>
      <c r="D31" t="s">
        <v>57</v>
      </c>
      <c r="E31">
        <v>1</v>
      </c>
    </row>
    <row r="33" spans="1:1">
      <c r="A33" s="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/>
  </sheetViews>
  <sheetFormatPr defaultRowHeight="15"/>
  <cols>
    <col min="1" max="1" width="18.7109375" customWidth="1"/>
    <col min="2" max="2" width="55.7109375" customWidth="1"/>
    <col min="3" max="5" width="18.7109375" customWidth="1"/>
  </cols>
  <sheetData>
    <row r="1" spans="1:5">
      <c r="A1" s="6" t="s">
        <v>61</v>
      </c>
      <c r="B1" s="6" t="s">
        <v>62</v>
      </c>
      <c r="C1" s="7" t="s">
        <v>63</v>
      </c>
      <c r="D1" s="7" t="s">
        <v>8</v>
      </c>
      <c r="E1" s="7" t="s">
        <v>4</v>
      </c>
    </row>
    <row r="2" spans="1:5">
      <c r="A2" t="s">
        <v>64</v>
      </c>
      <c r="B2" t="s">
        <v>65</v>
      </c>
      <c r="C2">
        <v>91</v>
      </c>
      <c r="D2" s="3">
        <v>37800</v>
      </c>
      <c r="E2">
        <v>7</v>
      </c>
    </row>
    <row r="3" spans="1:5">
      <c r="A3" t="s">
        <v>66</v>
      </c>
      <c r="B3" t="s">
        <v>65</v>
      </c>
      <c r="C3">
        <v>98</v>
      </c>
      <c r="D3" s="3">
        <v>35700</v>
      </c>
      <c r="E3">
        <v>7</v>
      </c>
    </row>
    <row r="4" spans="1:5">
      <c r="A4" t="s">
        <v>67</v>
      </c>
      <c r="B4" t="s">
        <v>65</v>
      </c>
      <c r="C4">
        <v>105</v>
      </c>
      <c r="D4" s="3">
        <v>33600</v>
      </c>
      <c r="E4">
        <v>7</v>
      </c>
    </row>
    <row r="5" spans="1:5">
      <c r="A5" t="s">
        <v>68</v>
      </c>
      <c r="B5" t="s">
        <v>65</v>
      </c>
      <c r="C5">
        <v>84</v>
      </c>
      <c r="D5" s="3">
        <v>30600</v>
      </c>
      <c r="E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/>
  </sheetViews>
  <sheetFormatPr defaultRowHeight="15"/>
  <cols>
    <col min="1" max="1" width="14.7109375" customWidth="1"/>
    <col min="2" max="2" width="10.7109375" customWidth="1"/>
    <col min="3" max="4" width="35.7109375" customWidth="1"/>
    <col min="5" max="7" width="18.7109375" customWidth="1"/>
  </cols>
  <sheetData>
    <row r="1" spans="1:7">
      <c r="A1" s="6" t="s">
        <v>69</v>
      </c>
      <c r="B1" s="6" t="s">
        <v>70</v>
      </c>
      <c r="C1" s="6" t="s">
        <v>27</v>
      </c>
      <c r="D1" s="6" t="s">
        <v>71</v>
      </c>
      <c r="E1" s="7" t="s">
        <v>72</v>
      </c>
      <c r="F1" s="7" t="s">
        <v>8</v>
      </c>
      <c r="G1" s="7" t="s">
        <v>3</v>
      </c>
    </row>
    <row r="2" spans="1:7">
      <c r="A2" t="s">
        <v>73</v>
      </c>
      <c r="B2" t="s">
        <v>23</v>
      </c>
      <c r="C2" t="s">
        <v>29</v>
      </c>
      <c r="D2" t="s">
        <v>74</v>
      </c>
      <c r="E2" s="3">
        <v>45000</v>
      </c>
      <c r="F2" s="3">
        <v>9000</v>
      </c>
      <c r="G2" s="4">
        <v>0.2</v>
      </c>
    </row>
    <row r="3" spans="1:7">
      <c r="A3" t="s">
        <v>75</v>
      </c>
      <c r="B3" t="s">
        <v>24</v>
      </c>
      <c r="C3" t="s">
        <v>30</v>
      </c>
      <c r="D3" t="s">
        <v>76</v>
      </c>
      <c r="E3" s="3">
        <v>43500</v>
      </c>
      <c r="F3" s="3">
        <v>8700</v>
      </c>
      <c r="G3" s="4">
        <v>0.2</v>
      </c>
    </row>
    <row r="4" spans="1:7">
      <c r="A4" t="s">
        <v>77</v>
      </c>
      <c r="B4" t="s">
        <v>25</v>
      </c>
      <c r="C4" t="s">
        <v>31</v>
      </c>
      <c r="D4" t="s">
        <v>78</v>
      </c>
      <c r="E4" s="3">
        <v>42000</v>
      </c>
      <c r="F4" s="3">
        <v>8400</v>
      </c>
      <c r="G4" s="4">
        <v>0.2</v>
      </c>
    </row>
    <row r="5" spans="1:7">
      <c r="A5" t="s">
        <v>79</v>
      </c>
      <c r="B5" t="s">
        <v>26</v>
      </c>
      <c r="C5" t="s">
        <v>32</v>
      </c>
      <c r="D5" t="s">
        <v>80</v>
      </c>
      <c r="E5" s="3">
        <v>40500</v>
      </c>
      <c r="F5" s="3">
        <v>8100</v>
      </c>
      <c r="G5" s="4">
        <v>0.2</v>
      </c>
    </row>
    <row r="6" spans="1:7">
      <c r="A6" t="s">
        <v>81</v>
      </c>
      <c r="B6" t="s">
        <v>23</v>
      </c>
      <c r="C6" t="s">
        <v>33</v>
      </c>
      <c r="D6" t="s">
        <v>82</v>
      </c>
      <c r="E6" s="3">
        <v>39000</v>
      </c>
      <c r="F6" s="3">
        <v>7800</v>
      </c>
      <c r="G6" s="4">
        <v>0.2</v>
      </c>
    </row>
    <row r="7" spans="1:7">
      <c r="A7" t="s">
        <v>83</v>
      </c>
      <c r="B7" t="s">
        <v>24</v>
      </c>
      <c r="C7" t="s">
        <v>34</v>
      </c>
      <c r="D7" t="s">
        <v>74</v>
      </c>
      <c r="E7" s="3">
        <v>37500</v>
      </c>
      <c r="F7" s="3">
        <v>7500</v>
      </c>
      <c r="G7" s="4">
        <v>0.2</v>
      </c>
    </row>
    <row r="8" spans="1:7">
      <c r="A8" t="s">
        <v>84</v>
      </c>
      <c r="B8" t="s">
        <v>25</v>
      </c>
      <c r="C8" t="s">
        <v>35</v>
      </c>
      <c r="D8" t="s">
        <v>76</v>
      </c>
      <c r="E8" s="3">
        <v>36000</v>
      </c>
      <c r="F8" s="3">
        <v>7200</v>
      </c>
      <c r="G8" s="4">
        <v>0.2</v>
      </c>
    </row>
    <row r="9" spans="1:7">
      <c r="A9" t="s">
        <v>85</v>
      </c>
      <c r="B9" t="s">
        <v>26</v>
      </c>
      <c r="C9" t="s">
        <v>36</v>
      </c>
      <c r="D9" t="s">
        <v>78</v>
      </c>
      <c r="E9" s="3">
        <v>34500</v>
      </c>
      <c r="F9" s="3">
        <v>6900</v>
      </c>
      <c r="G9" s="4">
        <v>0.2</v>
      </c>
    </row>
    <row r="10" spans="1:7">
      <c r="A10" t="s">
        <v>86</v>
      </c>
      <c r="B10" t="s">
        <v>23</v>
      </c>
      <c r="C10" t="s">
        <v>37</v>
      </c>
      <c r="D10" t="s">
        <v>80</v>
      </c>
      <c r="E10" s="3">
        <v>33000</v>
      </c>
      <c r="F10" s="3">
        <v>6600</v>
      </c>
      <c r="G10" s="4">
        <v>0.2</v>
      </c>
    </row>
    <row r="11" spans="1:7">
      <c r="A11" t="s">
        <v>87</v>
      </c>
      <c r="B11" t="s">
        <v>24</v>
      </c>
      <c r="C11" t="s">
        <v>38</v>
      </c>
      <c r="D11" t="s">
        <v>82</v>
      </c>
      <c r="E11" s="3">
        <v>31500</v>
      </c>
      <c r="F11" s="3">
        <v>6300</v>
      </c>
      <c r="G11" s="4">
        <v>0.2</v>
      </c>
    </row>
    <row r="12" spans="1:7">
      <c r="A12" t="s">
        <v>88</v>
      </c>
      <c r="B12" t="s">
        <v>25</v>
      </c>
      <c r="C12" t="s">
        <v>39</v>
      </c>
      <c r="D12" t="s">
        <v>74</v>
      </c>
      <c r="E12" s="3">
        <v>30000</v>
      </c>
      <c r="F12" s="3">
        <v>6000</v>
      </c>
      <c r="G12" s="4">
        <v>0.2</v>
      </c>
    </row>
    <row r="13" spans="1:7">
      <c r="A13" t="s">
        <v>89</v>
      </c>
      <c r="B13" t="s">
        <v>26</v>
      </c>
      <c r="C13" t="s">
        <v>40</v>
      </c>
      <c r="D13" t="s">
        <v>76</v>
      </c>
      <c r="E13" s="3">
        <v>28500</v>
      </c>
      <c r="F13" s="3">
        <v>5700</v>
      </c>
      <c r="G13" s="4">
        <v>0.2</v>
      </c>
    </row>
    <row r="14" spans="1:7">
      <c r="A14" t="s">
        <v>90</v>
      </c>
      <c r="B14" t="s">
        <v>23</v>
      </c>
      <c r="C14" t="s">
        <v>41</v>
      </c>
      <c r="D14" t="s">
        <v>78</v>
      </c>
      <c r="E14" s="3">
        <v>27000</v>
      </c>
      <c r="F14" s="3">
        <v>5400</v>
      </c>
      <c r="G14" s="4">
        <v>0.2</v>
      </c>
    </row>
    <row r="15" spans="1:7">
      <c r="A15" t="s">
        <v>91</v>
      </c>
      <c r="B15" t="s">
        <v>24</v>
      </c>
      <c r="C15" t="s">
        <v>42</v>
      </c>
      <c r="D15" t="s">
        <v>80</v>
      </c>
      <c r="E15" s="3">
        <v>25500</v>
      </c>
      <c r="F15" s="3">
        <v>5100</v>
      </c>
      <c r="G15" s="4">
        <v>0.2</v>
      </c>
    </row>
    <row r="16" spans="1:7">
      <c r="A16" t="s">
        <v>92</v>
      </c>
      <c r="B16" t="s">
        <v>25</v>
      </c>
      <c r="C16" t="s">
        <v>43</v>
      </c>
      <c r="D16" t="s">
        <v>82</v>
      </c>
      <c r="E16" s="3">
        <v>24000</v>
      </c>
      <c r="F16" s="3">
        <v>4800</v>
      </c>
      <c r="G16" s="4">
        <v>0.2</v>
      </c>
    </row>
    <row r="17" spans="1:7">
      <c r="A17" t="s">
        <v>93</v>
      </c>
      <c r="B17" t="s">
        <v>26</v>
      </c>
      <c r="C17" t="s">
        <v>44</v>
      </c>
      <c r="D17" t="s">
        <v>74</v>
      </c>
      <c r="E17" s="3">
        <v>22500</v>
      </c>
      <c r="F17" s="3">
        <v>4500</v>
      </c>
      <c r="G17" s="4">
        <v>0.2</v>
      </c>
    </row>
    <row r="18" spans="1:7">
      <c r="A18" t="s">
        <v>94</v>
      </c>
      <c r="B18" t="s">
        <v>23</v>
      </c>
      <c r="C18" t="s">
        <v>45</v>
      </c>
      <c r="D18" t="s">
        <v>76</v>
      </c>
      <c r="E18" s="3">
        <v>21000</v>
      </c>
      <c r="F18" s="3">
        <v>4200</v>
      </c>
      <c r="G18" s="4">
        <v>0.2</v>
      </c>
    </row>
    <row r="19" spans="1:7">
      <c r="A19" t="s">
        <v>95</v>
      </c>
      <c r="B19" t="s">
        <v>24</v>
      </c>
      <c r="C19" t="s">
        <v>46</v>
      </c>
      <c r="D19" t="s">
        <v>78</v>
      </c>
      <c r="E19" s="3">
        <v>19500</v>
      </c>
      <c r="F19" s="3">
        <v>3900</v>
      </c>
      <c r="G19" s="4">
        <v>0.2</v>
      </c>
    </row>
    <row r="20" spans="1:7">
      <c r="A20" t="s">
        <v>96</v>
      </c>
      <c r="B20" t="s">
        <v>25</v>
      </c>
      <c r="C20" t="s">
        <v>47</v>
      </c>
      <c r="D20" t="s">
        <v>80</v>
      </c>
      <c r="E20" s="3">
        <v>18000</v>
      </c>
      <c r="F20" s="3">
        <v>3600</v>
      </c>
      <c r="G20" s="4">
        <v>0.2</v>
      </c>
    </row>
    <row r="21" spans="1:7">
      <c r="A21" t="s">
        <v>97</v>
      </c>
      <c r="B21" t="s">
        <v>26</v>
      </c>
      <c r="C21" t="s">
        <v>48</v>
      </c>
      <c r="D21" t="s">
        <v>82</v>
      </c>
      <c r="E21" s="3">
        <v>16500</v>
      </c>
      <c r="F21" s="3">
        <v>3300</v>
      </c>
      <c r="G21" s="4">
        <v>0.2</v>
      </c>
    </row>
    <row r="22" spans="1:7">
      <c r="A22" t="s">
        <v>98</v>
      </c>
      <c r="B22" t="s">
        <v>23</v>
      </c>
      <c r="C22" t="s">
        <v>49</v>
      </c>
      <c r="D22" t="s">
        <v>74</v>
      </c>
      <c r="E22" s="3">
        <v>15000</v>
      </c>
      <c r="F22" s="3">
        <v>3000</v>
      </c>
      <c r="G22" s="4">
        <v>0.2</v>
      </c>
    </row>
    <row r="23" spans="1:7">
      <c r="A23" t="s">
        <v>99</v>
      </c>
      <c r="B23" t="s">
        <v>24</v>
      </c>
      <c r="C23" t="s">
        <v>50</v>
      </c>
      <c r="D23" t="s">
        <v>76</v>
      </c>
      <c r="E23" s="3">
        <v>13500</v>
      </c>
      <c r="F23" s="3">
        <v>2700</v>
      </c>
      <c r="G23" s="4">
        <v>0.2</v>
      </c>
    </row>
    <row r="24" spans="1:7">
      <c r="A24" t="s">
        <v>100</v>
      </c>
      <c r="B24" t="s">
        <v>25</v>
      </c>
      <c r="C24" t="s">
        <v>51</v>
      </c>
      <c r="D24" t="s">
        <v>78</v>
      </c>
      <c r="E24" s="3">
        <v>12000</v>
      </c>
      <c r="F24" s="3">
        <v>2400</v>
      </c>
      <c r="G24" s="4">
        <v>0.2</v>
      </c>
    </row>
    <row r="25" spans="1:7">
      <c r="A25" t="s">
        <v>101</v>
      </c>
      <c r="B25" t="s">
        <v>26</v>
      </c>
      <c r="C25" t="s">
        <v>52</v>
      </c>
      <c r="D25" t="s">
        <v>80</v>
      </c>
      <c r="E25" s="3">
        <v>10500</v>
      </c>
      <c r="F25" s="3">
        <v>2100</v>
      </c>
      <c r="G25" s="4">
        <v>0.2</v>
      </c>
    </row>
    <row r="26" spans="1:7">
      <c r="A26" t="s">
        <v>102</v>
      </c>
      <c r="B26" t="s">
        <v>23</v>
      </c>
      <c r="C26" t="s">
        <v>53</v>
      </c>
      <c r="D26" t="s">
        <v>82</v>
      </c>
      <c r="E26" s="3">
        <v>9000</v>
      </c>
      <c r="F26" s="3">
        <v>1800</v>
      </c>
      <c r="G26" s="4">
        <v>0.2</v>
      </c>
    </row>
    <row r="27" spans="1:7">
      <c r="A27" t="s">
        <v>103</v>
      </c>
      <c r="B27" t="s">
        <v>24</v>
      </c>
      <c r="C27" t="s">
        <v>54</v>
      </c>
      <c r="D27" t="s">
        <v>74</v>
      </c>
      <c r="E27" s="3">
        <v>7500</v>
      </c>
      <c r="F27" s="3">
        <v>1500</v>
      </c>
      <c r="G27" s="4">
        <v>0.2</v>
      </c>
    </row>
    <row r="28" spans="1:7">
      <c r="A28" t="s">
        <v>104</v>
      </c>
      <c r="B28" t="s">
        <v>25</v>
      </c>
      <c r="C28" t="s">
        <v>55</v>
      </c>
      <c r="D28" t="s">
        <v>76</v>
      </c>
      <c r="E28" s="3">
        <v>6000</v>
      </c>
      <c r="F28" s="3">
        <v>1200</v>
      </c>
      <c r="G28" s="4">
        <v>0.2</v>
      </c>
    </row>
    <row r="29" spans="1:7">
      <c r="A29" t="s">
        <v>105</v>
      </c>
      <c r="B29" t="s">
        <v>26</v>
      </c>
      <c r="C29" t="s">
        <v>56</v>
      </c>
      <c r="D29" t="s">
        <v>78</v>
      </c>
      <c r="E29" s="3">
        <v>4500</v>
      </c>
      <c r="F29" s="3"/>
      <c r="G29" s="4"/>
    </row>
    <row r="30" spans="1:7">
      <c r="A30" t="s">
        <v>106</v>
      </c>
      <c r="B30" t="s">
        <v>23</v>
      </c>
      <c r="C30" t="s">
        <v>58</v>
      </c>
      <c r="D30" t="s">
        <v>80</v>
      </c>
      <c r="E30" s="3">
        <v>3000</v>
      </c>
      <c r="F30" s="3"/>
      <c r="G30" s="4"/>
    </row>
    <row r="31" spans="1:7">
      <c r="A31" t="s">
        <v>107</v>
      </c>
      <c r="B31" t="s">
        <v>24</v>
      </c>
      <c r="C31" t="s">
        <v>59</v>
      </c>
      <c r="D31" t="s">
        <v>82</v>
      </c>
      <c r="E31" s="3">
        <v>1500</v>
      </c>
      <c r="F31" s="3"/>
      <c r="G3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0.7109375" customWidth="1"/>
  </cols>
  <sheetData>
    <row r="1" spans="1:10" ht="32" customHeight="1">
      <c r="A1" s="9" t="s">
        <v>108</v>
      </c>
      <c r="B1" s="9" t="s">
        <v>1</v>
      </c>
      <c r="C1" s="9" t="s">
        <v>109</v>
      </c>
      <c r="D1" s="9" t="s">
        <v>110</v>
      </c>
      <c r="E1" s="9" t="s">
        <v>111</v>
      </c>
      <c r="F1" s="9" t="s">
        <v>28</v>
      </c>
      <c r="G1" s="9" t="s">
        <v>112</v>
      </c>
      <c r="H1" s="9" t="s">
        <v>4</v>
      </c>
      <c r="I1" s="9" t="s">
        <v>113</v>
      </c>
      <c r="J1" s="9" t="s">
        <v>114</v>
      </c>
    </row>
    <row r="2" spans="1:10">
      <c r="A2" s="10" t="s">
        <v>115</v>
      </c>
      <c r="B2" s="11"/>
      <c r="C2" s="11"/>
      <c r="D2" s="11"/>
      <c r="E2" s="12"/>
      <c r="F2" s="11"/>
      <c r="G2" s="12"/>
      <c r="H2" s="10">
        <v>0</v>
      </c>
      <c r="I2" s="11"/>
      <c r="J2" s="10" t="s">
        <v>116</v>
      </c>
    </row>
    <row r="3" spans="1:10">
      <c r="A3" s="10" t="s">
        <v>117</v>
      </c>
      <c r="B3" s="11"/>
      <c r="C3" s="11"/>
      <c r="D3" s="11"/>
      <c r="E3" s="12"/>
      <c r="F3" s="11"/>
      <c r="G3" s="12"/>
      <c r="H3" s="10">
        <v>0</v>
      </c>
      <c r="I3" s="11"/>
      <c r="J3" s="10" t="s">
        <v>116</v>
      </c>
    </row>
    <row r="4" spans="1:10">
      <c r="A4" s="10" t="s">
        <v>118</v>
      </c>
      <c r="B4" s="11"/>
      <c r="C4" s="11"/>
      <c r="D4" s="11"/>
      <c r="E4" s="12"/>
      <c r="F4" s="11"/>
      <c r="G4" s="12"/>
      <c r="H4" s="10">
        <v>0</v>
      </c>
      <c r="I4" s="11"/>
      <c r="J4" s="10" t="s">
        <v>116</v>
      </c>
    </row>
    <row r="5" spans="1:10">
      <c r="A5" s="10" t="s">
        <v>119</v>
      </c>
      <c r="B5" s="11"/>
      <c r="C5" s="11"/>
      <c r="D5" s="11"/>
      <c r="E5" s="12"/>
      <c r="F5" s="11"/>
      <c r="G5" s="12"/>
      <c r="H5" s="10">
        <v>0</v>
      </c>
      <c r="I5" s="11"/>
      <c r="J5" s="10" t="s">
        <v>116</v>
      </c>
    </row>
    <row r="6" spans="1:10">
      <c r="A6" s="10" t="s">
        <v>120</v>
      </c>
      <c r="B6" s="11"/>
      <c r="C6" s="11"/>
      <c r="D6" s="11"/>
      <c r="E6" s="12"/>
      <c r="F6" s="11"/>
      <c r="G6" s="12"/>
      <c r="H6" s="10">
        <v>0</v>
      </c>
      <c r="I6" s="11"/>
      <c r="J6" s="10" t="s">
        <v>116</v>
      </c>
    </row>
    <row r="7" spans="1:10">
      <c r="A7" s="10" t="s">
        <v>121</v>
      </c>
      <c r="B7" s="11"/>
      <c r="C7" s="11"/>
      <c r="D7" s="11"/>
      <c r="E7" s="12"/>
      <c r="F7" s="11"/>
      <c r="G7" s="12"/>
      <c r="H7" s="10">
        <v>0</v>
      </c>
      <c r="I7" s="11"/>
      <c r="J7" s="10" t="s">
        <v>116</v>
      </c>
    </row>
    <row r="8" spans="1:10">
      <c r="A8" s="10" t="s">
        <v>122</v>
      </c>
      <c r="B8" s="11"/>
      <c r="C8" s="11"/>
      <c r="D8" s="11"/>
      <c r="E8" s="12"/>
      <c r="F8" s="11"/>
      <c r="G8" s="12"/>
      <c r="H8" s="10">
        <v>0</v>
      </c>
      <c r="I8" s="11"/>
      <c r="J8" s="10" t="s">
        <v>116</v>
      </c>
    </row>
    <row r="9" spans="1:10">
      <c r="A9" s="10" t="s">
        <v>123</v>
      </c>
      <c r="B9" s="11">
        <v>697500</v>
      </c>
      <c r="C9" s="11">
        <v>465000</v>
      </c>
      <c r="D9" s="11">
        <v>232500</v>
      </c>
      <c r="E9" s="12">
        <v>50</v>
      </c>
      <c r="F9" s="11">
        <v>137700</v>
      </c>
      <c r="G9" s="12"/>
      <c r="H9" s="10">
        <v>30</v>
      </c>
      <c r="I9" s="11">
        <v>23250</v>
      </c>
      <c r="J9" s="10" t="s">
        <v>124</v>
      </c>
    </row>
    <row r="12" spans="1:10">
      <c r="A12" s="10" t="s">
        <v>125</v>
      </c>
    </row>
  </sheetData>
  <autoFilter ref="A1:J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6" width="20.7109375" customWidth="1"/>
    <col min="7" max="7" width="38.7109375" customWidth="1"/>
    <col min="8" max="8" width="20.7109375" customWidth="1"/>
  </cols>
  <sheetData>
    <row r="1" spans="1:8" ht="32" customHeight="1">
      <c r="A1" s="9" t="s">
        <v>27</v>
      </c>
      <c r="B1" s="9" t="s">
        <v>1</v>
      </c>
      <c r="C1" s="9" t="s">
        <v>109</v>
      </c>
      <c r="D1" s="9" t="s">
        <v>110</v>
      </c>
      <c r="E1" s="9" t="s">
        <v>111</v>
      </c>
      <c r="F1" s="9" t="s">
        <v>4</v>
      </c>
      <c r="G1" s="9" t="s">
        <v>126</v>
      </c>
      <c r="H1" s="9" t="s">
        <v>127</v>
      </c>
    </row>
    <row r="2" spans="1:8">
      <c r="A2" s="10" t="s">
        <v>29</v>
      </c>
      <c r="B2" s="11">
        <v>45000</v>
      </c>
      <c r="C2" s="11">
        <v>1000</v>
      </c>
      <c r="D2" s="11">
        <v>44000</v>
      </c>
      <c r="E2" s="12">
        <v>4400</v>
      </c>
      <c r="F2" s="10">
        <v>1</v>
      </c>
      <c r="G2" s="10" t="s">
        <v>128</v>
      </c>
      <c r="H2" s="10" t="s">
        <v>129</v>
      </c>
    </row>
    <row r="3" spans="1:8">
      <c r="A3" s="10" t="s">
        <v>30</v>
      </c>
      <c r="B3" s="11">
        <v>43500</v>
      </c>
      <c r="C3" s="11">
        <v>2000</v>
      </c>
      <c r="D3" s="11">
        <v>41500</v>
      </c>
      <c r="E3" s="12">
        <v>2075</v>
      </c>
      <c r="F3" s="10">
        <v>1</v>
      </c>
      <c r="G3" s="10" t="s">
        <v>128</v>
      </c>
      <c r="H3" s="10" t="s">
        <v>130</v>
      </c>
    </row>
    <row r="4" spans="1:8">
      <c r="A4" s="10" t="s">
        <v>31</v>
      </c>
      <c r="B4" s="11">
        <v>42000</v>
      </c>
      <c r="C4" s="11">
        <v>3000</v>
      </c>
      <c r="D4" s="11">
        <v>39000</v>
      </c>
      <c r="E4" s="12">
        <v>1300</v>
      </c>
      <c r="F4" s="10">
        <v>1</v>
      </c>
      <c r="G4" s="10" t="s">
        <v>128</v>
      </c>
      <c r="H4" s="10" t="s">
        <v>131</v>
      </c>
    </row>
    <row r="5" spans="1:8">
      <c r="A5" s="10" t="s">
        <v>32</v>
      </c>
      <c r="B5" s="11">
        <v>40500</v>
      </c>
      <c r="C5" s="11">
        <v>4000</v>
      </c>
      <c r="D5" s="11">
        <v>36500</v>
      </c>
      <c r="E5" s="12">
        <v>912.5</v>
      </c>
      <c r="F5" s="10">
        <v>1</v>
      </c>
      <c r="G5" s="10" t="s">
        <v>128</v>
      </c>
      <c r="H5" s="10" t="s">
        <v>132</v>
      </c>
    </row>
    <row r="6" spans="1:8">
      <c r="A6" s="10" t="s">
        <v>33</v>
      </c>
      <c r="B6" s="11">
        <v>39000</v>
      </c>
      <c r="C6" s="11">
        <v>5000</v>
      </c>
      <c r="D6" s="11">
        <v>34000</v>
      </c>
      <c r="E6" s="12">
        <v>680</v>
      </c>
      <c r="F6" s="10">
        <v>1</v>
      </c>
      <c r="G6" s="10" t="s">
        <v>128</v>
      </c>
      <c r="H6" s="10" t="s">
        <v>133</v>
      </c>
    </row>
    <row r="7" spans="1:8">
      <c r="A7" s="10" t="s">
        <v>34</v>
      </c>
      <c r="B7" s="11">
        <v>37500</v>
      </c>
      <c r="C7" s="11">
        <v>6000</v>
      </c>
      <c r="D7" s="11">
        <v>31500</v>
      </c>
      <c r="E7" s="12">
        <v>525</v>
      </c>
      <c r="F7" s="10">
        <v>1</v>
      </c>
      <c r="G7" s="10" t="s">
        <v>128</v>
      </c>
      <c r="H7" s="10" t="s">
        <v>134</v>
      </c>
    </row>
    <row r="8" spans="1:8">
      <c r="A8" s="10" t="s">
        <v>35</v>
      </c>
      <c r="B8" s="11">
        <v>36000</v>
      </c>
      <c r="C8" s="11">
        <v>7000</v>
      </c>
      <c r="D8" s="11">
        <v>29000</v>
      </c>
      <c r="E8" s="12">
        <v>414.2857142857143</v>
      </c>
      <c r="F8" s="10">
        <v>1</v>
      </c>
      <c r="G8" s="10" t="s">
        <v>128</v>
      </c>
      <c r="H8" s="10" t="s">
        <v>135</v>
      </c>
    </row>
    <row r="9" spans="1:8">
      <c r="A9" s="10" t="s">
        <v>59</v>
      </c>
      <c r="B9" s="11">
        <v>1500</v>
      </c>
      <c r="C9" s="11">
        <v>30000</v>
      </c>
      <c r="D9" s="11">
        <v>-28500</v>
      </c>
      <c r="E9" s="12">
        <v>-95</v>
      </c>
      <c r="F9" s="10">
        <v>1</v>
      </c>
      <c r="G9" s="10" t="s">
        <v>136</v>
      </c>
      <c r="H9" s="10" t="s">
        <v>130</v>
      </c>
    </row>
    <row r="10" spans="1:8">
      <c r="A10" s="10" t="s">
        <v>36</v>
      </c>
      <c r="B10" s="11">
        <v>34500</v>
      </c>
      <c r="C10" s="11">
        <v>8000</v>
      </c>
      <c r="D10" s="11">
        <v>26500</v>
      </c>
      <c r="E10" s="12">
        <v>331.25</v>
      </c>
      <c r="F10" s="10">
        <v>1</v>
      </c>
      <c r="G10" s="10" t="s">
        <v>128</v>
      </c>
      <c r="H10" s="10" t="s">
        <v>137</v>
      </c>
    </row>
    <row r="11" spans="1:8">
      <c r="A11" s="10" t="s">
        <v>58</v>
      </c>
      <c r="B11" s="11">
        <v>3000</v>
      </c>
      <c r="C11" s="11">
        <v>29000</v>
      </c>
      <c r="D11" s="11">
        <v>-26000</v>
      </c>
      <c r="E11" s="12">
        <v>-89.65517241379311</v>
      </c>
      <c r="F11" s="10">
        <v>1</v>
      </c>
      <c r="G11" s="10" t="s">
        <v>136</v>
      </c>
      <c r="H11" s="10" t="s">
        <v>129</v>
      </c>
    </row>
    <row r="12" spans="1:8">
      <c r="A12" s="10" t="s">
        <v>37</v>
      </c>
      <c r="B12" s="11">
        <v>33000</v>
      </c>
      <c r="C12" s="11">
        <v>9000</v>
      </c>
      <c r="D12" s="11">
        <v>24000</v>
      </c>
      <c r="E12" s="12">
        <v>266.6666666666666</v>
      </c>
      <c r="F12" s="10">
        <v>1</v>
      </c>
      <c r="G12" s="10" t="s">
        <v>128</v>
      </c>
      <c r="H12" s="10" t="s">
        <v>138</v>
      </c>
    </row>
    <row r="13" spans="1:8">
      <c r="A13" s="10" t="s">
        <v>56</v>
      </c>
      <c r="B13" s="11">
        <v>4500</v>
      </c>
      <c r="C13" s="11">
        <v>28000</v>
      </c>
      <c r="D13" s="11">
        <v>-23500</v>
      </c>
      <c r="E13" s="12">
        <v>-83.92857142857143</v>
      </c>
      <c r="F13" s="10">
        <v>1</v>
      </c>
      <c r="G13" s="10" t="s">
        <v>136</v>
      </c>
      <c r="H13" s="10" t="s">
        <v>139</v>
      </c>
    </row>
    <row r="14" spans="1:8">
      <c r="A14" s="10" t="s">
        <v>38</v>
      </c>
      <c r="B14" s="11">
        <v>31500</v>
      </c>
      <c r="C14" s="11">
        <v>10000</v>
      </c>
      <c r="D14" s="11">
        <v>21500</v>
      </c>
      <c r="E14" s="12">
        <v>215</v>
      </c>
      <c r="F14" s="10">
        <v>1</v>
      </c>
      <c r="G14" s="10" t="s">
        <v>128</v>
      </c>
      <c r="H14" s="10" t="s">
        <v>140</v>
      </c>
    </row>
    <row r="15" spans="1:8">
      <c r="A15" s="10" t="s">
        <v>55</v>
      </c>
      <c r="B15" s="11">
        <v>6000</v>
      </c>
      <c r="C15" s="11">
        <v>27000</v>
      </c>
      <c r="D15" s="11">
        <v>-21000</v>
      </c>
      <c r="E15" s="12">
        <v>-77.77777777777779</v>
      </c>
      <c r="F15" s="10">
        <v>1</v>
      </c>
      <c r="G15" s="10" t="s">
        <v>136</v>
      </c>
      <c r="H15" s="10" t="s">
        <v>141</v>
      </c>
    </row>
    <row r="16" spans="1:8">
      <c r="A16" s="10" t="s">
        <v>39</v>
      </c>
      <c r="B16" s="11">
        <v>30000</v>
      </c>
      <c r="C16" s="11">
        <v>11000</v>
      </c>
      <c r="D16" s="11">
        <v>19000</v>
      </c>
      <c r="E16" s="12">
        <v>172.7272727272727</v>
      </c>
      <c r="F16" s="10">
        <v>1</v>
      </c>
      <c r="G16" s="10" t="s">
        <v>128</v>
      </c>
      <c r="H16" s="10" t="s">
        <v>142</v>
      </c>
    </row>
    <row r="17" spans="1:8">
      <c r="A17" s="10" t="s">
        <v>54</v>
      </c>
      <c r="B17" s="11">
        <v>7500</v>
      </c>
      <c r="C17" s="11">
        <v>26000</v>
      </c>
      <c r="D17" s="11">
        <v>-18500</v>
      </c>
      <c r="E17" s="12">
        <v>-71.15384615384616</v>
      </c>
      <c r="F17" s="10">
        <v>1</v>
      </c>
      <c r="G17" s="10" t="s">
        <v>136</v>
      </c>
      <c r="H17" s="10" t="s">
        <v>143</v>
      </c>
    </row>
    <row r="18" spans="1:8">
      <c r="A18" s="10" t="s">
        <v>40</v>
      </c>
      <c r="B18" s="11">
        <v>28500</v>
      </c>
      <c r="C18" s="11">
        <v>12000</v>
      </c>
      <c r="D18" s="11">
        <v>16500</v>
      </c>
      <c r="E18" s="12">
        <v>137.5</v>
      </c>
      <c r="F18" s="10">
        <v>1</v>
      </c>
      <c r="G18" s="10" t="s">
        <v>128</v>
      </c>
      <c r="H18" s="10" t="s">
        <v>144</v>
      </c>
    </row>
    <row r="19" spans="1:8">
      <c r="A19" s="10" t="s">
        <v>53</v>
      </c>
      <c r="B19" s="11">
        <v>9000</v>
      </c>
      <c r="C19" s="11">
        <v>25000</v>
      </c>
      <c r="D19" s="11">
        <v>-16000</v>
      </c>
      <c r="E19" s="12">
        <v>-64</v>
      </c>
      <c r="F19" s="10">
        <v>1</v>
      </c>
      <c r="G19" s="10" t="s">
        <v>136</v>
      </c>
      <c r="H19" s="10" t="s">
        <v>145</v>
      </c>
    </row>
    <row r="20" spans="1:8">
      <c r="A20" s="10" t="s">
        <v>41</v>
      </c>
      <c r="B20" s="11">
        <v>27000</v>
      </c>
      <c r="C20" s="11">
        <v>13000</v>
      </c>
      <c r="D20" s="11">
        <v>14000</v>
      </c>
      <c r="E20" s="12">
        <v>107.6923076923077</v>
      </c>
      <c r="F20" s="10">
        <v>1</v>
      </c>
      <c r="G20" s="10" t="s">
        <v>128</v>
      </c>
      <c r="H20" s="10" t="s">
        <v>146</v>
      </c>
    </row>
    <row r="21" spans="1:8">
      <c r="A21" s="10" t="s">
        <v>52</v>
      </c>
      <c r="B21" s="11">
        <v>10500</v>
      </c>
      <c r="C21" s="11">
        <v>24000</v>
      </c>
      <c r="D21" s="11">
        <v>-13500</v>
      </c>
      <c r="E21" s="12">
        <v>-56.25</v>
      </c>
      <c r="F21" s="10">
        <v>1</v>
      </c>
      <c r="G21" s="10" t="s">
        <v>136</v>
      </c>
      <c r="H21" s="10" t="s">
        <v>147</v>
      </c>
    </row>
    <row r="22" spans="1:8">
      <c r="A22" s="10" t="s">
        <v>42</v>
      </c>
      <c r="B22" s="11">
        <v>25500</v>
      </c>
      <c r="C22" s="11">
        <v>14000</v>
      </c>
      <c r="D22" s="11">
        <v>11500</v>
      </c>
      <c r="E22" s="12">
        <v>82.14285714285714</v>
      </c>
      <c r="F22" s="10">
        <v>1</v>
      </c>
      <c r="G22" s="10" t="s">
        <v>128</v>
      </c>
      <c r="H22" s="10" t="s">
        <v>148</v>
      </c>
    </row>
    <row r="23" spans="1:8">
      <c r="A23" s="10" t="s">
        <v>51</v>
      </c>
      <c r="B23" s="11">
        <v>12000</v>
      </c>
      <c r="C23" s="11">
        <v>23000</v>
      </c>
      <c r="D23" s="11">
        <v>-11000</v>
      </c>
      <c r="E23" s="12">
        <v>-47.82608695652174</v>
      </c>
      <c r="F23" s="10">
        <v>1</v>
      </c>
      <c r="G23" s="10" t="s">
        <v>136</v>
      </c>
      <c r="H23" s="10" t="s">
        <v>149</v>
      </c>
    </row>
    <row r="24" spans="1:8">
      <c r="A24" s="10" t="s">
        <v>43</v>
      </c>
      <c r="B24" s="11">
        <v>24000</v>
      </c>
      <c r="C24" s="11">
        <v>15000</v>
      </c>
      <c r="D24" s="11">
        <v>9000</v>
      </c>
      <c r="E24" s="12">
        <v>60</v>
      </c>
      <c r="F24" s="10">
        <v>1</v>
      </c>
      <c r="G24" s="10" t="s">
        <v>128</v>
      </c>
      <c r="H24" s="10" t="s">
        <v>150</v>
      </c>
    </row>
    <row r="25" spans="1:8">
      <c r="A25" s="10" t="s">
        <v>50</v>
      </c>
      <c r="B25" s="11">
        <v>13500</v>
      </c>
      <c r="C25" s="11">
        <v>22000</v>
      </c>
      <c r="D25" s="11">
        <v>-8500</v>
      </c>
      <c r="E25" s="12">
        <v>-38.63636363636363</v>
      </c>
      <c r="F25" s="10">
        <v>1</v>
      </c>
      <c r="G25" s="10" t="s">
        <v>136</v>
      </c>
      <c r="H25" s="10" t="s">
        <v>151</v>
      </c>
    </row>
    <row r="26" spans="1:8">
      <c r="A26" s="10" t="s">
        <v>44</v>
      </c>
      <c r="B26" s="11">
        <v>22500</v>
      </c>
      <c r="C26" s="11">
        <v>16000</v>
      </c>
      <c r="D26" s="11">
        <v>6500</v>
      </c>
      <c r="E26" s="12">
        <v>40.625</v>
      </c>
      <c r="F26" s="10">
        <v>1</v>
      </c>
      <c r="G26" s="10" t="s">
        <v>128</v>
      </c>
      <c r="H26" s="10" t="s">
        <v>152</v>
      </c>
    </row>
    <row r="27" spans="1:8">
      <c r="A27" s="10" t="s">
        <v>49</v>
      </c>
      <c r="B27" s="11">
        <v>15000</v>
      </c>
      <c r="C27" s="11">
        <v>21000</v>
      </c>
      <c r="D27" s="11">
        <v>-6000</v>
      </c>
      <c r="E27" s="12">
        <v>-28.57142857142857</v>
      </c>
      <c r="F27" s="10">
        <v>1</v>
      </c>
      <c r="G27" s="10" t="s">
        <v>136</v>
      </c>
      <c r="H27" s="10" t="s">
        <v>153</v>
      </c>
    </row>
    <row r="28" spans="1:8">
      <c r="A28" s="10" t="s">
        <v>45</v>
      </c>
      <c r="B28" s="11">
        <v>21000</v>
      </c>
      <c r="C28" s="11">
        <v>17000</v>
      </c>
      <c r="D28" s="11">
        <v>4000</v>
      </c>
      <c r="E28" s="12">
        <v>23.52941176470588</v>
      </c>
      <c r="F28" s="10">
        <v>1</v>
      </c>
      <c r="G28" s="10" t="s">
        <v>128</v>
      </c>
      <c r="H28" s="10" t="s">
        <v>154</v>
      </c>
    </row>
    <row r="29" spans="1:8">
      <c r="A29" s="10" t="s">
        <v>48</v>
      </c>
      <c r="B29" s="11">
        <v>16500</v>
      </c>
      <c r="C29" s="11">
        <v>20000</v>
      </c>
      <c r="D29" s="11">
        <v>-3500</v>
      </c>
      <c r="E29" s="12">
        <v>-17.5</v>
      </c>
      <c r="F29" s="10">
        <v>1</v>
      </c>
      <c r="G29" s="10" t="s">
        <v>136</v>
      </c>
      <c r="H29" s="10" t="s">
        <v>155</v>
      </c>
    </row>
    <row r="30" spans="1:8">
      <c r="A30" s="10" t="s">
        <v>46</v>
      </c>
      <c r="B30" s="11">
        <v>19500</v>
      </c>
      <c r="C30" s="11">
        <v>18000</v>
      </c>
      <c r="D30" s="11">
        <v>1500</v>
      </c>
      <c r="E30" s="12">
        <v>8.333333333333332</v>
      </c>
      <c r="F30" s="10">
        <v>1</v>
      </c>
      <c r="G30" s="10" t="s">
        <v>128</v>
      </c>
      <c r="H30" s="10" t="s">
        <v>156</v>
      </c>
    </row>
    <row r="31" spans="1:8">
      <c r="A31" s="10" t="s">
        <v>47</v>
      </c>
      <c r="B31" s="11">
        <v>18000</v>
      </c>
      <c r="C31" s="11">
        <v>19000</v>
      </c>
      <c r="D31" s="11">
        <v>-1000</v>
      </c>
      <c r="E31" s="12">
        <v>-5.263157894736842</v>
      </c>
      <c r="F31" s="10">
        <v>1</v>
      </c>
      <c r="G31" s="10" t="s">
        <v>136</v>
      </c>
      <c r="H31" s="10" t="s">
        <v>157</v>
      </c>
    </row>
    <row r="34" spans="1:1">
      <c r="A34" s="10" t="s">
        <v>125</v>
      </c>
    </row>
  </sheetData>
  <autoFilter ref="A1:H3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6" width="20.7109375" customWidth="1"/>
  </cols>
  <sheetData>
    <row r="1" spans="1:6" ht="32" customHeight="1">
      <c r="A1" s="9" t="s">
        <v>158</v>
      </c>
      <c r="B1" s="9" t="s">
        <v>4</v>
      </c>
      <c r="C1" s="9" t="s">
        <v>1</v>
      </c>
      <c r="D1" s="9" t="s">
        <v>28</v>
      </c>
      <c r="E1" s="9" t="s">
        <v>112</v>
      </c>
      <c r="F1" s="9" t="s">
        <v>159</v>
      </c>
    </row>
    <row r="2" spans="1:6">
      <c r="A2" s="10" t="s">
        <v>74</v>
      </c>
      <c r="B2" s="10">
        <v>6</v>
      </c>
      <c r="C2" s="11">
        <v>157500</v>
      </c>
      <c r="D2" s="11">
        <v>31500</v>
      </c>
      <c r="E2" s="12">
        <v>20</v>
      </c>
      <c r="F2" s="10" t="s">
        <v>160</v>
      </c>
    </row>
    <row r="3" spans="1:6">
      <c r="A3" s="10" t="s">
        <v>76</v>
      </c>
      <c r="B3" s="10">
        <v>6</v>
      </c>
      <c r="C3" s="11">
        <v>148500</v>
      </c>
      <c r="D3" s="11">
        <v>29700</v>
      </c>
      <c r="E3" s="12">
        <v>20</v>
      </c>
      <c r="F3" s="10" t="s">
        <v>160</v>
      </c>
    </row>
    <row r="4" spans="1:6">
      <c r="A4" s="10" t="s">
        <v>78</v>
      </c>
      <c r="B4" s="10">
        <v>6</v>
      </c>
      <c r="C4" s="11">
        <v>139500</v>
      </c>
      <c r="D4" s="11">
        <v>27000</v>
      </c>
      <c r="E4" s="12"/>
      <c r="F4" s="10" t="s">
        <v>161</v>
      </c>
    </row>
    <row r="5" spans="1:6">
      <c r="A5" s="10" t="s">
        <v>80</v>
      </c>
      <c r="B5" s="10">
        <v>6</v>
      </c>
      <c r="C5" s="11">
        <v>130500</v>
      </c>
      <c r="D5" s="11">
        <v>25500</v>
      </c>
      <c r="E5" s="12"/>
      <c r="F5" s="10" t="s">
        <v>161</v>
      </c>
    </row>
    <row r="6" spans="1:6">
      <c r="A6" s="10" t="s">
        <v>82</v>
      </c>
      <c r="B6" s="10">
        <v>6</v>
      </c>
      <c r="C6" s="11">
        <v>121500</v>
      </c>
      <c r="D6" s="11">
        <v>24000</v>
      </c>
      <c r="E6" s="12"/>
      <c r="F6" s="10" t="s">
        <v>161</v>
      </c>
    </row>
    <row r="9" spans="1:6">
      <c r="A9" s="10" t="s">
        <v>125</v>
      </c>
    </row>
  </sheetData>
  <autoFilter ref="A1:F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0.7109375" customWidth="1"/>
    <col min="10" max="10" width="38.7109375" customWidth="1"/>
  </cols>
  <sheetData>
    <row r="1" spans="1:10" ht="32" customHeight="1">
      <c r="A1" s="9" t="s">
        <v>108</v>
      </c>
      <c r="B1" s="9" t="s">
        <v>162</v>
      </c>
      <c r="C1" s="9" t="s">
        <v>163</v>
      </c>
      <c r="D1" s="9" t="s">
        <v>164</v>
      </c>
      <c r="E1" s="9" t="s">
        <v>165</v>
      </c>
      <c r="F1" s="9" t="s">
        <v>166</v>
      </c>
      <c r="G1" s="9" t="s">
        <v>167</v>
      </c>
      <c r="H1" s="9" t="s">
        <v>168</v>
      </c>
      <c r="I1" s="9" t="s">
        <v>169</v>
      </c>
      <c r="J1" s="9" t="s">
        <v>170</v>
      </c>
    </row>
    <row r="2" spans="1:10">
      <c r="A2" s="10" t="s">
        <v>123</v>
      </c>
      <c r="B2" s="10">
        <v>30</v>
      </c>
      <c r="C2" s="10">
        <v>0</v>
      </c>
      <c r="D2" s="10">
        <v>27</v>
      </c>
      <c r="E2" s="12">
        <v>90</v>
      </c>
      <c r="F2" s="10" t="s">
        <v>171</v>
      </c>
      <c r="G2" s="10">
        <v>27</v>
      </c>
      <c r="H2" s="10">
        <v>27</v>
      </c>
      <c r="I2" s="10" t="s">
        <v>172</v>
      </c>
      <c r="J2" s="10" t="s">
        <v>173</v>
      </c>
    </row>
    <row r="5" spans="1:10">
      <c r="A5" s="10" t="s">
        <v>125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Souhrn</vt:lpstr>
      <vt:lpstr>Obchodníci</vt:lpstr>
      <vt:lpstr>Zákazníci</vt:lpstr>
      <vt:lpstr>Produkty</vt:lpstr>
      <vt:lpstr>Největší DL</vt:lpstr>
      <vt:lpstr>Vývoj firmy</vt:lpstr>
      <vt:lpstr>Změny zákazníků</vt:lpstr>
      <vt:lpstr>Zakázky</vt:lpstr>
      <vt:lpstr>Kontrola dat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TURTO – Měsíční přehledy</dc:title>
  <dc:creator/>
  <dc:description>Verze 1.1.0</dc:description>
  <cp:lastModifiedBy/>
  <dcterms:created xsi:type="dcterms:W3CDTF">2026-09-15T19:05:59Z</dcterms:created>
  <dcterms:modified xsi:type="dcterms:W3CDTF">2026-09-15T19:05:59Z</dcterms:modified>
</cp:coreProperties>
</file>