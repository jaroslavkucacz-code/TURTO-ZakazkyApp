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zivatel\Documents\"/>
    </mc:Choice>
  </mc:AlternateContent>
  <xr:revisionPtr revIDLastSave="0" documentId="13_ncr:1_{8397E91B-407E-4E68-86BF-FADB82101AC7}" xr6:coauthVersionLast="47" xr6:coauthVersionMax="47" xr10:uidLastSave="{00000000-0000-0000-0000-000000000000}"/>
  <bookViews>
    <workbookView xWindow="38280" yWindow="-120" windowWidth="38640" windowHeight="21120" activeTab="1" xr2:uid="{7A44636E-064B-4A82-A893-1F9AF9F43AB4}"/>
  </bookViews>
  <sheets>
    <sheet name="Zakázky" sheetId="1" r:id="rId1"/>
    <sheet name="Poptávky" sheetId="11" r:id="rId2"/>
    <sheet name="MIVO" sheetId="13" r:id="rId3"/>
    <sheet name="Akce" sheetId="12" r:id="rId4"/>
    <sheet name="data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1" l="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2" i="11"/>
  <c r="I31" i="11"/>
  <c r="I33" i="11"/>
  <c r="I34" i="11"/>
  <c r="I35" i="11"/>
  <c r="I36" i="11"/>
  <c r="I37" i="11"/>
  <c r="I38" i="11"/>
  <c r="I39" i="11"/>
  <c r="I40" i="11"/>
  <c r="I41" i="11"/>
  <c r="H5" i="13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9" i="11"/>
  <c r="I58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4" i="11"/>
  <c r="I103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6" i="11"/>
  <c r="I125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5" i="11"/>
  <c r="I194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 l="1"/>
  <c r="I215" i="11" l="1"/>
  <c r="I216" i="11" l="1"/>
  <c r="I217" i="11"/>
  <c r="I218" i="11"/>
  <c r="I219" i="11" l="1"/>
  <c r="I221" i="11" l="1"/>
  <c r="I220" i="11"/>
  <c r="I222" i="11"/>
  <c r="I223" i="11" l="1"/>
  <c r="I224" i="11"/>
  <c r="I225" i="11" l="1"/>
  <c r="I227" i="11" l="1"/>
  <c r="I226" i="11"/>
  <c r="I228" i="11"/>
  <c r="I229" i="11" l="1"/>
  <c r="I230" i="11" l="1"/>
  <c r="I231" i="11"/>
  <c r="I232" i="11"/>
  <c r="I233" i="11"/>
  <c r="I234" i="11"/>
  <c r="I235" i="11"/>
  <c r="I236" i="11" l="1"/>
  <c r="I237" i="11" l="1"/>
  <c r="I238" i="11"/>
  <c r="I239" i="11" l="1"/>
  <c r="I240" i="11" l="1"/>
  <c r="I241" i="11"/>
  <c r="I242" i="11" l="1"/>
  <c r="I243" i="11" l="1"/>
  <c r="I244" i="11" l="1"/>
  <c r="I245" i="11"/>
  <c r="I246" i="11"/>
  <c r="H17" i="13"/>
  <c r="I247" i="11"/>
  <c r="I248" i="11" l="1"/>
  <c r="I249" i="11"/>
  <c r="I250" i="11" l="1"/>
  <c r="I251" i="11" l="1"/>
  <c r="I252" i="11"/>
  <c r="I253" i="11" l="1"/>
  <c r="I254" i="11" l="1"/>
  <c r="I255" i="11" l="1"/>
  <c r="I256" i="11" l="1"/>
  <c r="I257" i="11"/>
  <c r="I258" i="11"/>
  <c r="I259" i="11"/>
  <c r="I260" i="11" l="1"/>
  <c r="I261" i="11" l="1"/>
  <c r="I262" i="11" l="1"/>
  <c r="I263" i="11"/>
  <c r="I264" i="11" l="1"/>
  <c r="I265" i="11"/>
  <c r="I266" i="11" l="1"/>
  <c r="I267" i="11"/>
  <c r="I268" i="11" l="1"/>
  <c r="I269" i="11" l="1"/>
  <c r="I270" i="11"/>
  <c r="I271" i="11"/>
  <c r="I272" i="11" l="1"/>
  <c r="I273" i="11"/>
  <c r="I274" i="11"/>
  <c r="I275" i="11" l="1"/>
  <c r="I276" i="11"/>
  <c r="I277" i="11"/>
  <c r="I278" i="11" l="1"/>
  <c r="I279" i="11" l="1"/>
  <c r="I280" i="11"/>
  <c r="I281" i="11" l="1"/>
  <c r="I282" i="11"/>
  <c r="I283" i="11"/>
  <c r="I285" i="11"/>
  <c r="I284" i="11"/>
  <c r="I286" i="11"/>
  <c r="I287" i="11"/>
  <c r="I288" i="11"/>
  <c r="I289" i="11"/>
  <c r="I290" i="11"/>
  <c r="I291" i="11"/>
  <c r="I292" i="11" l="1"/>
  <c r="I293" i="11" l="1"/>
  <c r="I294" i="11" l="1"/>
  <c r="I295" i="11"/>
  <c r="I296" i="11" l="1"/>
  <c r="I297" i="11" l="1"/>
  <c r="I298" i="11"/>
  <c r="I299" i="11" l="1"/>
  <c r="I300" i="11"/>
  <c r="I301" i="11" l="1"/>
  <c r="I302" i="11" l="1"/>
  <c r="I303" i="11"/>
  <c r="I304" i="11"/>
  <c r="I305" i="11"/>
  <c r="I306" i="11" l="1"/>
  <c r="I307" i="11"/>
  <c r="I308" i="11" l="1"/>
  <c r="I309" i="11" l="1"/>
  <c r="I310" i="11"/>
  <c r="I311" i="11" l="1"/>
  <c r="I312" i="11"/>
  <c r="I315" i="11"/>
  <c r="I314" i="11"/>
  <c r="I313" i="11"/>
  <c r="I316" i="11"/>
  <c r="I317" i="11"/>
  <c r="I318" i="11" l="1"/>
  <c r="I319" i="11"/>
  <c r="I320" i="11" l="1"/>
  <c r="I321" i="11"/>
  <c r="I322" i="11"/>
  <c r="I323" i="11" l="1"/>
  <c r="I324" i="11"/>
  <c r="I325" i="11" l="1"/>
  <c r="I326" i="11" l="1"/>
  <c r="I327" i="11"/>
  <c r="I328" i="11"/>
  <c r="I329" i="11" l="1"/>
  <c r="I330" i="11"/>
  <c r="I331" i="11"/>
  <c r="I332" i="11"/>
  <c r="I333" i="11"/>
  <c r="I334" i="11" l="1"/>
  <c r="I335" i="11"/>
  <c r="I336" i="11" l="1"/>
  <c r="I337" i="11" l="1"/>
  <c r="I338" i="11" l="1"/>
  <c r="I339" i="11"/>
  <c r="I340" i="11"/>
  <c r="I341" i="11" l="1"/>
  <c r="I342" i="11"/>
  <c r="I343" i="11"/>
  <c r="I344" i="11" l="1"/>
  <c r="I345" i="11" l="1"/>
  <c r="I346" i="11"/>
  <c r="I347" i="11" l="1"/>
  <c r="I348" i="11"/>
  <c r="I349" i="11" l="1"/>
  <c r="I350" i="11" l="1"/>
  <c r="I351" i="11"/>
  <c r="I352" i="11" l="1"/>
  <c r="I353" i="11" l="1"/>
  <c r="I354" i="11" l="1"/>
  <c r="I355" i="11"/>
  <c r="I356" i="11" l="1"/>
  <c r="I357" i="11" l="1"/>
  <c r="I358" i="11" l="1"/>
  <c r="I359" i="11" l="1"/>
  <c r="I360" i="11"/>
  <c r="I361" i="11"/>
  <c r="I362" i="11" l="1"/>
  <c r="I363" i="11" l="1"/>
  <c r="I364" i="11"/>
  <c r="I365" i="11" l="1"/>
  <c r="I366" i="11"/>
  <c r="I367" i="11"/>
  <c r="I368" i="11"/>
  <c r="H23" i="13"/>
  <c r="I369" i="11"/>
  <c r="I370" i="11" l="1"/>
  <c r="I371" i="11"/>
  <c r="I372" i="11" l="1"/>
  <c r="I373" i="11" l="1"/>
  <c r="I374" i="11" l="1"/>
  <c r="I375" i="11" l="1"/>
  <c r="I376" i="11" l="1"/>
  <c r="I378" i="11"/>
  <c r="I377" i="11"/>
  <c r="I379" i="11"/>
  <c r="I380" i="11" l="1"/>
  <c r="I381" i="11" l="1"/>
  <c r="I382" i="11" l="1"/>
  <c r="I383" i="11"/>
  <c r="I384" i="11" l="1"/>
  <c r="I385" i="11"/>
  <c r="I386" i="11"/>
  <c r="I387" i="11" l="1"/>
  <c r="I388" i="11"/>
  <c r="I389" i="11" l="1"/>
  <c r="H24" i="13"/>
  <c r="I391" i="11" l="1"/>
  <c r="I392" i="11" l="1"/>
  <c r="I393" i="11"/>
  <c r="I394" i="11" l="1"/>
  <c r="I396" i="11" l="1"/>
  <c r="H25" i="13" l="1"/>
  <c r="I397" i="11" l="1"/>
  <c r="I398" i="11"/>
  <c r="I399" i="11"/>
  <c r="I400" i="11"/>
  <c r="I402" i="11" l="1"/>
  <c r="I403" i="11"/>
  <c r="I404" i="11"/>
  <c r="I405" i="11"/>
  <c r="I406" i="11"/>
  <c r="I408" i="11"/>
  <c r="I407" i="11"/>
  <c r="I409" i="11"/>
  <c r="I410" i="11"/>
  <c r="I411" i="11" l="1"/>
  <c r="I412" i="11" l="1"/>
  <c r="I413" i="11" l="1"/>
  <c r="I414" i="11" l="1"/>
  <c r="I415" i="11" l="1"/>
  <c r="I416" i="11"/>
  <c r="H26" i="13" l="1"/>
  <c r="I418" i="11"/>
  <c r="I417" i="11"/>
  <c r="I419" i="11"/>
  <c r="H27" i="13"/>
  <c r="H28" i="13"/>
  <c r="I420" i="11"/>
  <c r="I421" i="11" l="1"/>
  <c r="I422" i="11"/>
  <c r="I423" i="11"/>
  <c r="I424" i="11" l="1"/>
  <c r="H29" i="13"/>
  <c r="I425" i="11"/>
  <c r="I426" i="11"/>
  <c r="I427" i="11"/>
  <c r="I428" i="11"/>
  <c r="I429" i="11" l="1"/>
  <c r="I430" i="11" l="1"/>
  <c r="I431" i="11"/>
  <c r="I433" i="11" l="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32" i="11"/>
  <c r="H33" i="13" l="1"/>
  <c r="H35" i="13" l="1"/>
  <c r="H36" i="13" l="1"/>
  <c r="H37" i="13" l="1"/>
  <c r="H38" i="13" l="1"/>
  <c r="H2" i="13" l="1"/>
  <c r="H39" i="13"/>
  <c r="H40" i="13"/>
</calcChain>
</file>

<file path=xl/sharedStrings.xml><?xml version="1.0" encoding="utf-8"?>
<sst xmlns="http://schemas.openxmlformats.org/spreadsheetml/2006/main" count="6105" uniqueCount="1432">
  <si>
    <t>Jiří Cír</t>
  </si>
  <si>
    <t>Bytová rezidence Petruškova</t>
  </si>
  <si>
    <t>Milan Soukup</t>
  </si>
  <si>
    <t>Kolben Park III</t>
  </si>
  <si>
    <t>Polyfunkční dům Prcek - Vyškov</t>
  </si>
  <si>
    <t>x</t>
  </si>
  <si>
    <t>Kaskády Barrandov</t>
  </si>
  <si>
    <t>Benešov</t>
  </si>
  <si>
    <t>Jan Mayer</t>
  </si>
  <si>
    <t>BD Jaroměř</t>
  </si>
  <si>
    <t>poznámka</t>
  </si>
  <si>
    <t>Akce</t>
  </si>
  <si>
    <t>čekáme na výkresy isonosníků</t>
  </si>
  <si>
    <t>BD Čimická</t>
  </si>
  <si>
    <t>BD Starochodovská</t>
  </si>
  <si>
    <t>Stromovka Kladno</t>
  </si>
  <si>
    <t>FN Plzeň - Chirurgie</t>
  </si>
  <si>
    <t>Vibroizolace</t>
  </si>
  <si>
    <t>GL Apartments</t>
  </si>
  <si>
    <t>Česká mincovna Jablonec</t>
  </si>
  <si>
    <t>Viladům Hvězda</t>
  </si>
  <si>
    <t>ZŠ TGM Tělocvična Poděbrady</t>
  </si>
  <si>
    <t>Rezidence Nádraží Žižkov</t>
  </si>
  <si>
    <t>vibroizolace - Voplakal?</t>
  </si>
  <si>
    <t>Meta 2</t>
  </si>
  <si>
    <t>v nabídce od Leviatu chybí 1 nosník + nemají isokorby S</t>
  </si>
  <si>
    <t>zrušeno - nemají kapacitu</t>
  </si>
  <si>
    <t>špatné podklady</t>
  </si>
  <si>
    <t>Křeslická</t>
  </si>
  <si>
    <t>Polyfunkční areál Smíchov</t>
  </si>
  <si>
    <t>BD Zelený Kamýk</t>
  </si>
  <si>
    <t>Voplakal</t>
  </si>
  <si>
    <t>Izonosníky</t>
  </si>
  <si>
    <t>Vibroizolace, izonosníky</t>
  </si>
  <si>
    <t>Apartmány Odra</t>
  </si>
  <si>
    <t>Meander Kbely</t>
  </si>
  <si>
    <t>Vít Hrdlička</t>
  </si>
  <si>
    <t>Lávka Jaroměř</t>
  </si>
  <si>
    <t>táhla</t>
  </si>
  <si>
    <t>v řešení s Voplakalem</t>
  </si>
  <si>
    <t>průměry smykovek u ZVX a ZDX? + tl. Stěny u OU</t>
  </si>
  <si>
    <t>RD Nymburk</t>
  </si>
  <si>
    <t>distanční prvky</t>
  </si>
  <si>
    <t>do 16.2 - již zpracováno</t>
  </si>
  <si>
    <t>dělal návrh pro Pohlcon</t>
  </si>
  <si>
    <t>BD Jezarky</t>
  </si>
  <si>
    <t>Petr Charvát</t>
  </si>
  <si>
    <t>RD Paceřice</t>
  </si>
  <si>
    <t>RD Druztová</t>
  </si>
  <si>
    <t>RD Na Zavadilce</t>
  </si>
  <si>
    <t>mail Milan</t>
  </si>
  <si>
    <t>Bílá 
vana</t>
  </si>
  <si>
    <t>Apartmány Rokytná</t>
  </si>
  <si>
    <t>připravit nabídku jednotkové ceny viz mail - údaje IČO…</t>
  </si>
  <si>
    <t>BD Odkolek</t>
  </si>
  <si>
    <t>Kovohryz</t>
  </si>
  <si>
    <t>BD Třešňová</t>
  </si>
  <si>
    <t>Na Plzeňce</t>
  </si>
  <si>
    <t>GR desky</t>
  </si>
  <si>
    <t>již odevzdali</t>
  </si>
  <si>
    <t>RD Beroun</t>
  </si>
  <si>
    <t>Hotel Hladina</t>
  </si>
  <si>
    <t>Koh-i-noor</t>
  </si>
  <si>
    <t>Voplakal - izo</t>
  </si>
  <si>
    <t>smykové trny</t>
  </si>
  <si>
    <t>Galerie Pardubice</t>
  </si>
  <si>
    <t>BD Petrská</t>
  </si>
  <si>
    <t>únosnosti Leviat do tabulky, akce JapsTen, a další</t>
  </si>
  <si>
    <t>upravit ceny mezivýplní 300 mm a 600 mm + certifikát REI 120</t>
  </si>
  <si>
    <t>ABATO SERVIS s.r.o.</t>
  </si>
  <si>
    <t>ABP a.s. Praha</t>
  </si>
  <si>
    <t>ABP HOLDING a.s.</t>
  </si>
  <si>
    <t>AB systém CZ s.r.o.</t>
  </si>
  <si>
    <t>ACARA PRAHA,s.r.o.</t>
  </si>
  <si>
    <t>ACISTAV, s.r.o.</t>
  </si>
  <si>
    <t>A.D.S. Rokycany s.r.o.</t>
  </si>
  <si>
    <t>AED projekt</t>
  </si>
  <si>
    <t>AF STAV Group s.r.o.</t>
  </si>
  <si>
    <t>Akční tisk, s.r.o.</t>
  </si>
  <si>
    <t>AKORA s.r.o.</t>
  </si>
  <si>
    <t>AKTIVITA plus s.r.o.</t>
  </si>
  <si>
    <t>AKT STAV s.r.o.</t>
  </si>
  <si>
    <t>ALBANESE</t>
  </si>
  <si>
    <t>ALFA MONOLIT s.r.o.</t>
  </si>
  <si>
    <t>ALGON, a.s.</t>
  </si>
  <si>
    <t>Allianz pojišťovna, a.s.</t>
  </si>
  <si>
    <t>ALSTAP s.r.o.</t>
  </si>
  <si>
    <t>ALSTON spol. s r.o.</t>
  </si>
  <si>
    <t>ALTESE s.r.o.</t>
  </si>
  <si>
    <t>ALUPRA, spol. s r.o.</t>
  </si>
  <si>
    <t>ALWERK, s.r.o.</t>
  </si>
  <si>
    <t>Alza.cz a.s.</t>
  </si>
  <si>
    <t>Amazing Tours, a.s.</t>
  </si>
  <si>
    <t>AMO, spol. s r.o.</t>
  </si>
  <si>
    <t>Andres a Vild, spol. s r.o.</t>
  </si>
  <si>
    <t>ANP - Systems GmbH</t>
  </si>
  <si>
    <t>APB - PLZEŇ a.s.</t>
  </si>
  <si>
    <t>ARDEM STAVEBNÍ s.r.o.</t>
  </si>
  <si>
    <t>Arch Construct s.r.o.</t>
  </si>
  <si>
    <t>Archetiko, s.r.o.</t>
  </si>
  <si>
    <t>architekti NAHRANĚ s.r.o.</t>
  </si>
  <si>
    <t>ARLEPA Projekt s.r.o.</t>
  </si>
  <si>
    <t>ARMONTIS BeSt s.r.o.</t>
  </si>
  <si>
    <t>ARMOVNA Otovice s.r.o.</t>
  </si>
  <si>
    <t>ARNOŠT s.r.o.</t>
  </si>
  <si>
    <t>ARSWIN s.r.o.</t>
  </si>
  <si>
    <t>ARWEN architects s.r.o.</t>
  </si>
  <si>
    <t>ASETA SERVICES s.r.o.</t>
  </si>
  <si>
    <t>ASPESI FINANCE s.r.o.</t>
  </si>
  <si>
    <t>Atrium invest s.r.o.</t>
  </si>
  <si>
    <t>AT SERVIS spol. s r.o.</t>
  </si>
  <si>
    <t>Auböck s.r.o.</t>
  </si>
  <si>
    <t>AUSTIS Pozemní stavby s.r.o.</t>
  </si>
  <si>
    <t>AUTO-PARTNER SK s.r.o.</t>
  </si>
  <si>
    <t>Auto Průhonice a.s.</t>
  </si>
  <si>
    <t>AVE CZ odpadové hospodářství s.r.o.</t>
  </si>
  <si>
    <t>A V stav,  spol.  s  r.o.</t>
  </si>
  <si>
    <t>A-X s.r.o.</t>
  </si>
  <si>
    <t>Azivex s.r.o.</t>
  </si>
  <si>
    <t>az-reptec GbR</t>
  </si>
  <si>
    <t>A2K-STAV s.r.o.</t>
  </si>
  <si>
    <t>BAGOSTAV s.r.o.</t>
  </si>
  <si>
    <t>BAKNER s.r.o.</t>
  </si>
  <si>
    <t>BAK stavební společnost, a.s.</t>
  </si>
  <si>
    <t>BAM Group s.r.o.</t>
  </si>
  <si>
    <t>BAUFERA s.r.o.</t>
  </si>
  <si>
    <t>BAU-STAV a.s.</t>
  </si>
  <si>
    <t>BAZISSTAV group s.r.o.</t>
  </si>
  <si>
    <t>BBA-MONOLIT,s.r.o.</t>
  </si>
  <si>
    <t>B &amp; BC, a. s.</t>
  </si>
  <si>
    <t>BBP monolit s.r.o.</t>
  </si>
  <si>
    <t>BB Stavby s.r.o.</t>
  </si>
  <si>
    <t>BCC, s.r.o.</t>
  </si>
  <si>
    <t>BDS Benešov s.r.o.</t>
  </si>
  <si>
    <t>Bednicí technika Trutnov, s.r.o.</t>
  </si>
  <si>
    <t>Bemox s.r.o.</t>
  </si>
  <si>
    <t>BERGER BOHEMIA a. s.</t>
  </si>
  <si>
    <t>BET-KO CZ s.r.o.</t>
  </si>
  <si>
    <t>BETOKON s.r.o.</t>
  </si>
  <si>
    <t>BETONIT CZ s.r.o.</t>
  </si>
  <si>
    <t>BETONOVÉ STAVBY - GROUP, s.r.o.</t>
  </si>
  <si>
    <t>BETONSERVIS s.r.o.</t>
  </si>
  <si>
    <t>Beto -Tech Praha s.r.o.</t>
  </si>
  <si>
    <t>BetWork s.r.o.</t>
  </si>
  <si>
    <t>BHSK, a.s.</t>
  </si>
  <si>
    <t>BIGGEST s.r.o.</t>
  </si>
  <si>
    <t>Bína spol. s r.o.</t>
  </si>
  <si>
    <t>BIOMAROS s.r.o.</t>
  </si>
  <si>
    <t>BIONA JERSÍN, s.r.o.</t>
  </si>
  <si>
    <t>BIS, a. s.</t>
  </si>
  <si>
    <t>BKP Transport Group s.r.o.</t>
  </si>
  <si>
    <t>B K V  Stavební společnost s r.o.</t>
  </si>
  <si>
    <t>BK25, s.r.o.</t>
  </si>
  <si>
    <t>Blyth s.r.o.</t>
  </si>
  <si>
    <t>BOBONYČ s.r.o.</t>
  </si>
  <si>
    <t>BODASY s.r.o.</t>
  </si>
  <si>
    <t>BÖGL a KRÝSL, k.s.</t>
  </si>
  <si>
    <t>BOXAN s.r.o.</t>
  </si>
  <si>
    <t>B.P.B.P.</t>
  </si>
  <si>
    <t>BP Brůna s.r.o.</t>
  </si>
  <si>
    <t>BP STAVBY CZ s.r.o.</t>
  </si>
  <si>
    <t>BP STAVBY Morava s.r.o.</t>
  </si>
  <si>
    <t>B.R.E. Bohemian Real Estate Corporation s.r.o.</t>
  </si>
  <si>
    <t>BRESTT STAVBY a.s.</t>
  </si>
  <si>
    <t>BRIACHER s.r.o.</t>
  </si>
  <si>
    <t>BRNOFROST spol. s r.o.</t>
  </si>
  <si>
    <t>Bronze cz s.r.o.</t>
  </si>
  <si>
    <t>Bross spol. s r.o.</t>
  </si>
  <si>
    <t>BROSTAV s.r.o.</t>
  </si>
  <si>
    <t>Bruno sped s.r.o.</t>
  </si>
  <si>
    <t>BSL</t>
  </si>
  <si>
    <t>BSLA servis s.r.o.</t>
  </si>
  <si>
    <t>bss BÁŇSKÁ STAVEBNÍ SPOLEČNOST s.r.o.</t>
  </si>
  <si>
    <t>Ing. Naděžda Bublíková</t>
  </si>
  <si>
    <t>Budimex Construction Prague s.r.o.</t>
  </si>
  <si>
    <t>Budžak Building s.r.o.</t>
  </si>
  <si>
    <t>BUILDING PLZEŇ s.r.o.</t>
  </si>
  <si>
    <t>BVG Floor a.s.</t>
  </si>
  <si>
    <t>Bydlení komplet s.r.o.</t>
  </si>
  <si>
    <t>B Z B, s.r.o.</t>
  </si>
  <si>
    <t>Andrea Cajthamlová</t>
  </si>
  <si>
    <t>Can-j-servis, s.r.o.</t>
  </si>
  <si>
    <t>Case15 s.r.o.</t>
  </si>
  <si>
    <t>Casta a.s.</t>
  </si>
  <si>
    <t>CATE s.r.o.</t>
  </si>
  <si>
    <t>CCS Česká společnost pro platební karty s.r.o.</t>
  </si>
  <si>
    <t>CENTRAL GROUP a.s.</t>
  </si>
  <si>
    <t>CEO Praha spol. s r.o.</t>
  </si>
  <si>
    <t>CIFRA bednění s.r.o.</t>
  </si>
  <si>
    <t>Josef Cifrain</t>
  </si>
  <si>
    <t>CIREN s.r.o.</t>
  </si>
  <si>
    <t>CJ izolace, s.r.o.</t>
  </si>
  <si>
    <t>CL-EVANS s.r.o.</t>
  </si>
  <si>
    <t>CleverBoard, s.r.o.</t>
  </si>
  <si>
    <t>CONMIX s.r.o.</t>
  </si>
  <si>
    <t>CONSTRUCTION TEAM  s.r.o.</t>
  </si>
  <si>
    <t>CON-WALL s.r.o.</t>
  </si>
  <si>
    <t>Cor Metal, s.r.o.</t>
  </si>
  <si>
    <t>C&amp;S MONOLITIA s.r.o.</t>
  </si>
  <si>
    <t>CUBITT, s.r.o.</t>
  </si>
  <si>
    <t>CYMEDICA CZ, a.s.</t>
  </si>
  <si>
    <t>Czasch spol. s r.o.</t>
  </si>
  <si>
    <t>CZC.cz s.r.o.</t>
  </si>
  <si>
    <t>CZinstal s.r.o.</t>
  </si>
  <si>
    <t>Jan Černohorský</t>
  </si>
  <si>
    <t>Česká podnikatelská pojišťovna, a.s., Vienna Insurance Group</t>
  </si>
  <si>
    <t>Český výbor pro UNICEF</t>
  </si>
  <si>
    <t>ČR Beton Bohemia spol. s r.o.</t>
  </si>
  <si>
    <t>Daliform Group S.r.l.</t>
  </si>
  <si>
    <t>DAMKO spol. s r.o.</t>
  </si>
  <si>
    <t>Hynek Danč</t>
  </si>
  <si>
    <t>DaPaM s.r.o.</t>
  </si>
  <si>
    <t>DASKO, s.r.o.</t>
  </si>
  <si>
    <t>DASU CZ s.r.o.</t>
  </si>
  <si>
    <t>DaX Czech s.r.o.</t>
  </si>
  <si>
    <t>D - beton s.r.o.</t>
  </si>
  <si>
    <t>DELTAFLOR plus, spol. s r.o.</t>
  </si>
  <si>
    <t>Derpat Czech, s.r.o.</t>
  </si>
  <si>
    <t>DEXON CZECH s.r.o.</t>
  </si>
  <si>
    <t>DHT Construct s.r.o.</t>
  </si>
  <si>
    <t>DIGISAT s.r.o.</t>
  </si>
  <si>
    <t>Direct pojišťovna, a.s.</t>
  </si>
  <si>
    <t>Dis - Tech, s.r.o.</t>
  </si>
  <si>
    <t>Jan Diviš</t>
  </si>
  <si>
    <t>DOLEŽAL PRAHA s.r.o.</t>
  </si>
  <si>
    <t>DOLTER, spol. s r.o.</t>
  </si>
  <si>
    <t>DOMECOS s.r.o.</t>
  </si>
  <si>
    <t>Doprastav, a.s., organizační složka Praha</t>
  </si>
  <si>
    <t>Doprava a mechanizace a. s.</t>
  </si>
  <si>
    <t>DOPS s.r.o.</t>
  </si>
  <si>
    <t>DOTRANS, s.r.o.</t>
  </si>
  <si>
    <t>Draspol-stavební podnik s.r.o.</t>
  </si>
  <si>
    <t>Dratostav s.r.o.</t>
  </si>
  <si>
    <t>DRULSTAV s.r.o.</t>
  </si>
  <si>
    <t>Dual Trade s.r.o.</t>
  </si>
  <si>
    <t>Dufek Group s.r.o.</t>
  </si>
  <si>
    <t>DUONDIO s.r.o.</t>
  </si>
  <si>
    <t>Karel Dvořák</t>
  </si>
  <si>
    <t>DVOŘÁK STAVEBNÍ s.r.o.</t>
  </si>
  <si>
    <t>DVS ARMO s.r.o., odštěpný závod</t>
  </si>
  <si>
    <t>DVS stavebnictví s.r.o.</t>
  </si>
  <si>
    <t>Dyson Technology besloten</t>
  </si>
  <si>
    <t>Aliaksandr Dzmitryieu</t>
  </si>
  <si>
    <t>EBM Construct, s.r.o.</t>
  </si>
  <si>
    <t>ECONET COMPUTERS spol. s r.o.</t>
  </si>
  <si>
    <t>Ekolis s.r.o.</t>
  </si>
  <si>
    <t>EKOSTAR spol. s r.o.</t>
  </si>
  <si>
    <t>EKOSTAV a.s.</t>
  </si>
  <si>
    <t>ELDOS, spol. s r.o.</t>
  </si>
  <si>
    <t>ELORA GROUP s.r.o.</t>
  </si>
  <si>
    <t>ELRAIL s.r.o.</t>
  </si>
  <si>
    <t>elva lease s.r.o.</t>
  </si>
  <si>
    <t>ELVA Pharma CZECH s.r.o.</t>
  </si>
  <si>
    <t>ELWA spol. s r.o.</t>
  </si>
  <si>
    <t>EMPL - LIBEREC spol. s r.o.</t>
  </si>
  <si>
    <t>ENERGON stavební, s.r.o.</t>
  </si>
  <si>
    <t>engelbert strauss s.r.o.</t>
  </si>
  <si>
    <t>ENTECH INVEST s.r.o.</t>
  </si>
  <si>
    <t>ESASTAV s.r.o.</t>
  </si>
  <si>
    <t>E&amp;S stavby s.r.o.</t>
  </si>
  <si>
    <t>EUCON CZ s.r.o.</t>
  </si>
  <si>
    <t>EUROGEMA CZ, a.s.</t>
  </si>
  <si>
    <t>EUROVIA CZ a.s.</t>
  </si>
  <si>
    <t>Even s.r.o.</t>
  </si>
  <si>
    <t>EXPERTDOCK s.r.o.</t>
  </si>
  <si>
    <t>FAIRCON 23 s.r.o.</t>
  </si>
  <si>
    <t>Ing. arch. Michal Fanta</t>
  </si>
  <si>
    <t>FECIT - Plus s.r.o.</t>
  </si>
  <si>
    <t>FERAX VL s.r.o.</t>
  </si>
  <si>
    <t>FERI, s.r.o.</t>
  </si>
  <si>
    <t>Ferona, a.s.</t>
  </si>
  <si>
    <t>FERRUM PLZEŇ spol. s r.o.</t>
  </si>
  <si>
    <t>FERT a.s.</t>
  </si>
  <si>
    <t>FIAX metal s.r.o.</t>
  </si>
  <si>
    <t>FIRESTA-Fišer, rekonstrukce, stavby a.s.</t>
  </si>
  <si>
    <t>FIRESTAV s.r.o.</t>
  </si>
  <si>
    <t>firma BLÁHA s.r.o.</t>
  </si>
  <si>
    <t>FK Bau, a.s.</t>
  </si>
  <si>
    <t>Flash Partners s.r.o.</t>
  </si>
  <si>
    <t>FLORÍÁ D &amp; N s.r.o.</t>
  </si>
  <si>
    <t>FOINIA STEEL spol. s r.o.</t>
  </si>
  <si>
    <t>FORECO Praha s.r.o.</t>
  </si>
  <si>
    <t>FORMWORKCZ s.r.o.</t>
  </si>
  <si>
    <t>FORTING s.r.o.</t>
  </si>
  <si>
    <t>FOSALLI MONOLIT s.r.o.</t>
  </si>
  <si>
    <t>Fosalli s.r.o.</t>
  </si>
  <si>
    <t>Martin Frank</t>
  </si>
  <si>
    <t>FREYSSINET CS, a.s.</t>
  </si>
  <si>
    <t>FS MONOLITY s.r.o.</t>
  </si>
  <si>
    <t>GARDEN UP LANDSCAPE DESIGN, s.r.o.</t>
  </si>
  <si>
    <t>GATE 75 s.r.o.</t>
  </si>
  <si>
    <t>GEDOSTA spol. s r. o.</t>
  </si>
  <si>
    <t>GEDOST s.r.o.</t>
  </si>
  <si>
    <t>GEMO a.s.</t>
  </si>
  <si>
    <t>Generali Česká pojišťovna a.s.</t>
  </si>
  <si>
    <t>GEOprojektil spol. s r.o.</t>
  </si>
  <si>
    <t>GEOSAN GROUP a.s.</t>
  </si>
  <si>
    <t>GEOSTAV CZECH a.s.</t>
  </si>
  <si>
    <t>GEROtop spol. s r.o.</t>
  </si>
  <si>
    <t>GLASIERT, s.r.o.</t>
  </si>
  <si>
    <t>GMM STAVEBNÍ Technology, s.r.o.</t>
  </si>
  <si>
    <t>GriToN CZ s.r.o.</t>
  </si>
  <si>
    <t>G.T.S. Poběžovice, spol. s r.o.</t>
  </si>
  <si>
    <t>GUMEX, spol. s r.o.</t>
  </si>
  <si>
    <t>GURUSTAV s.r.o.</t>
  </si>
  <si>
    <t>Tomáš Hájek</t>
  </si>
  <si>
    <t>Vlastimil Hájek</t>
  </si>
  <si>
    <t>HALFEN s.r.o.</t>
  </si>
  <si>
    <t>HALKO stavební společnost, s.r.o.</t>
  </si>
  <si>
    <t>Hana Peštová</t>
  </si>
  <si>
    <t>HAUSIN architecture &amp; design s.r.o.</t>
  </si>
  <si>
    <t>HEBEX Group s.r.o.</t>
  </si>
  <si>
    <t>HEKRA stavební s.r.o.</t>
  </si>
  <si>
    <t>Helian Group s.r.o.</t>
  </si>
  <si>
    <t>HESKET s.r.o.</t>
  </si>
  <si>
    <t>HET - Pragoelast s.r.o.</t>
  </si>
  <si>
    <t>HG STAV s.r.o.</t>
  </si>
  <si>
    <t>Hilti ČR spol. s r.o.</t>
  </si>
  <si>
    <t>Hinton, a.s.</t>
  </si>
  <si>
    <t>HLAVA - STAVBY s.r.o.</t>
  </si>
  <si>
    <t>HLAVNÍ MĚSTO PRAHA</t>
  </si>
  <si>
    <t>HMS, spol. s r.o.</t>
  </si>
  <si>
    <t>HOCHTIEF CZ a. s.</t>
  </si>
  <si>
    <t>Petr Hojer</t>
  </si>
  <si>
    <t>Mgr. MARTIN HOLÝ - advokát</t>
  </si>
  <si>
    <t>Martin Homola</t>
  </si>
  <si>
    <t>Homzyak s.r.o.</t>
  </si>
  <si>
    <t>Ing. Karel Horký</t>
  </si>
  <si>
    <t>HP TRONIC Zlín, spol. s r.o.</t>
  </si>
  <si>
    <t>Jan Hrabák - Lakmal s.r.o.</t>
  </si>
  <si>
    <t>HR stav KV s.r.o.</t>
  </si>
  <si>
    <t>HSF System a.s.</t>
  </si>
  <si>
    <t>Hana Humlová</t>
  </si>
  <si>
    <t>Filip Hušek</t>
  </si>
  <si>
    <t>HÜWA CZ s.r.o.</t>
  </si>
  <si>
    <t>Hyundai Praha Domanský s.r.o.</t>
  </si>
  <si>
    <t>CHALKO PŘÍKRÝ  s.r.o.</t>
  </si>
  <si>
    <t>CHRYSTYNA s.r.o.</t>
  </si>
  <si>
    <t>Marian-Alexandru Iacob</t>
  </si>
  <si>
    <t>Icefox spol. s r.o.</t>
  </si>
  <si>
    <t>IDEASTAV STAVEBNÍ s.r.o.</t>
  </si>
  <si>
    <t>idix s.r.o.</t>
  </si>
  <si>
    <t>IDLER s.r.o.</t>
  </si>
  <si>
    <t>I.Kamenická stavební a obchodní firma s.r.o.</t>
  </si>
  <si>
    <t>IKO stavby s.r.o.</t>
  </si>
  <si>
    <t>IKS Invest, s.r.o.</t>
  </si>
  <si>
    <t>Ing. Vladimír ILLICHMAN</t>
  </si>
  <si>
    <t>IMOS Brno, a.s.</t>
  </si>
  <si>
    <t>INEX group s.r.o.</t>
  </si>
  <si>
    <t>INFINITOO CZ s.r.o.</t>
  </si>
  <si>
    <t>INFORM, spol. s r.o.</t>
  </si>
  <si>
    <t>INFORM, v.o.s.</t>
  </si>
  <si>
    <t>Ing. Dalibor Zikeš</t>
  </si>
  <si>
    <t>Ing. Jan Kubát</t>
  </si>
  <si>
    <t>Ing. Jiří Černý</t>
  </si>
  <si>
    <t>INKOR spol. s r.o.</t>
  </si>
  <si>
    <t>INSTAV BAU s.r.o.</t>
  </si>
  <si>
    <t>Integra stavby, a.s.</t>
  </si>
  <si>
    <t>INTERNET CZ, a.s.</t>
  </si>
  <si>
    <t>INVESSALES, spol. s r. o.</t>
  </si>
  <si>
    <t>IPM Building spol. s r.o.</t>
  </si>
  <si>
    <t>I P N , s.r.o.</t>
  </si>
  <si>
    <t>IR.Construction s.r.o.</t>
  </si>
  <si>
    <t>ISD - NOE, s.r.o.</t>
  </si>
  <si>
    <t>ISKOM, spol. s r. o.</t>
  </si>
  <si>
    <t>iStyle CZ, s.r.o.</t>
  </si>
  <si>
    <t>IT Bohemia,spol. s r.o.</t>
  </si>
  <si>
    <t>ITOS - stavby s.r.o.</t>
  </si>
  <si>
    <t>Ivan Eliáš</t>
  </si>
  <si>
    <t>Ivanka Kultová</t>
  </si>
  <si>
    <t>Iveco Truck Centrum, s.r.o.</t>
  </si>
  <si>
    <t>IWU, s.r.o.</t>
  </si>
  <si>
    <t>IZOBAL TRADE s.r.o.</t>
  </si>
  <si>
    <t>IZOMAT stavebniny s.r.o.</t>
  </si>
  <si>
    <t>Jan Vlček</t>
  </si>
  <si>
    <t>JAPS TEN s.r.o.</t>
  </si>
  <si>
    <t>Zdeněk Ječný</t>
  </si>
  <si>
    <t>JESSENIA a.s.</t>
  </si>
  <si>
    <t>JETCON spol. s r.o.</t>
  </si>
  <si>
    <t>JFP trade, spol. s r.o.</t>
  </si>
  <si>
    <t>JIPS stavební firma s.r.o.</t>
  </si>
  <si>
    <t>Jiří Mencl</t>
  </si>
  <si>
    <t>J&amp;K BUILDING GROUP s.r.o.</t>
  </si>
  <si>
    <t>Zdeněk Jonák</t>
  </si>
  <si>
    <t>JORDAHL &amp; PFEIFER Stavební technika, s.r.o.</t>
  </si>
  <si>
    <t>JPS Monolity s.r.o.</t>
  </si>
  <si>
    <t>JS Monolity, s.r.o.</t>
  </si>
  <si>
    <t>JTA - Holding, spol. s r.o.</t>
  </si>
  <si>
    <t>Jungheinrich (ČR) s.r.o.</t>
  </si>
  <si>
    <t>JUREX VOS, s.r.o.</t>
  </si>
  <si>
    <t>JUVI Monolit s.r.o.</t>
  </si>
  <si>
    <t>Jiří KADEŘÁBEK</t>
  </si>
  <si>
    <t>KAMI PROFIT CZ s.r.o.</t>
  </si>
  <si>
    <t>KAPPI STAV OSTRAVA s.r.o.</t>
  </si>
  <si>
    <t>KARL-STAVBY s.r.o.</t>
  </si>
  <si>
    <t>Ondřej Kasal</t>
  </si>
  <si>
    <t>Kastelis a.s.</t>
  </si>
  <si>
    <t>KASTEN spol. s r.o.</t>
  </si>
  <si>
    <t>KDS - stavební s.r.o.</t>
  </si>
  <si>
    <t>Kentaur stav s.r.o.</t>
  </si>
  <si>
    <t>KETANELA s.r.o.</t>
  </si>
  <si>
    <t>K + G - tranzit, spol. s r.o.</t>
  </si>
  <si>
    <t>KIFARU GROUP s.r.o.</t>
  </si>
  <si>
    <t>KJZ, spol. s r.o.</t>
  </si>
  <si>
    <t>K.K.Beton CZ s.r.o.</t>
  </si>
  <si>
    <t>KK výstavby, spol. s r. o.</t>
  </si>
  <si>
    <t>KLAUS Timber a.s.</t>
  </si>
  <si>
    <t>KLZ s.r.o.</t>
  </si>
  <si>
    <t>KMP Bürotechnik, s.r.o.</t>
  </si>
  <si>
    <t>KM - Publicity, spol. s r.o.</t>
  </si>
  <si>
    <t>KOBODAS INDUSTRY s.r.o.</t>
  </si>
  <si>
    <t>KOČÍ a.s.</t>
  </si>
  <si>
    <t>KODEX, a.s.</t>
  </si>
  <si>
    <t>Jan Kolář</t>
  </si>
  <si>
    <t>MUDr. Ilona Kolařová</t>
  </si>
  <si>
    <t>Ondřej Kolínek</t>
  </si>
  <si>
    <t>KOMFORT,a.s.</t>
  </si>
  <si>
    <t>Kompakt Příbram spol. s r.o.</t>
  </si>
  <si>
    <t>KONDOR, s.r.o.</t>
  </si>
  <si>
    <t>KONSIT a.s.</t>
  </si>
  <si>
    <t>KONTAKT - SK, s.r.o.</t>
  </si>
  <si>
    <t>KOREFIB s.r.o.</t>
  </si>
  <si>
    <t>KOSTKA stav s.r.o.</t>
  </si>
  <si>
    <t>Marek Košťálek</t>
  </si>
  <si>
    <t>Lumír KOVANDA</t>
  </si>
  <si>
    <t>Martin Kovářík</t>
  </si>
  <si>
    <t>Kovo Kameník s.r.o.</t>
  </si>
  <si>
    <t>Hedvika Koželuhová</t>
  </si>
  <si>
    <t>KP - Keramika, s.r.o.</t>
  </si>
  <si>
    <t>Krakatoa Consulting s.r.o.</t>
  </si>
  <si>
    <t>Královské lesy s.r.o.</t>
  </si>
  <si>
    <t>KRÁL PM CENTRUM s.r.o.</t>
  </si>
  <si>
    <t>KrampeHarex CZ s.r.o.</t>
  </si>
  <si>
    <t>Michal Kratochvíl</t>
  </si>
  <si>
    <t>Jan KREJČA</t>
  </si>
  <si>
    <t>Jan Křikava</t>
  </si>
  <si>
    <t>K &amp; T Monolity s.r.o.</t>
  </si>
  <si>
    <t>Ing. Igor Kuba</t>
  </si>
  <si>
    <t>Ing. Pavel Kubát</t>
  </si>
  <si>
    <t>KV Realinvest s.r.o.</t>
  </si>
  <si>
    <t>KWEKU s.r.o.</t>
  </si>
  <si>
    <t>LACHMAN STYL s.r.o.</t>
  </si>
  <si>
    <t>LAMINA KOMÁROV ,s.r.o.</t>
  </si>
  <si>
    <t>LB stav s.r.o.</t>
  </si>
  <si>
    <t>Leviat s.r.o.</t>
  </si>
  <si>
    <t>Lhoták s.r.o.</t>
  </si>
  <si>
    <t>Lias Vintířov, lehký stavební materiál k.s.</t>
  </si>
  <si>
    <t>LIKAL, s.r.o.</t>
  </si>
  <si>
    <t>Limex Energy s.r.o.</t>
  </si>
  <si>
    <t>Linarit s.r.o.</t>
  </si>
  <si>
    <t>LINEA spol.s r.o.</t>
  </si>
  <si>
    <t>LINSTA stavební s.r.o.</t>
  </si>
  <si>
    <t>Live Dream Create s.r.o.</t>
  </si>
  <si>
    <t>Ivana Loňková</t>
  </si>
  <si>
    <t>Jozef Lopatovský</t>
  </si>
  <si>
    <t>Zdeněk Loskot</t>
  </si>
  <si>
    <t>LOUDA REALITY a.s.</t>
  </si>
  <si>
    <t>LS REAL s.r.o.</t>
  </si>
  <si>
    <t>LUKEŠ CONSTRUCTION s.r.o.</t>
  </si>
  <si>
    <t>Václav Lukeš</t>
  </si>
  <si>
    <t>LUTY, s.r.o.</t>
  </si>
  <si>
    <t>MAGSTAV družstvo</t>
  </si>
  <si>
    <t>MACH MOTORS s.r.o.</t>
  </si>
  <si>
    <t>MAKEDOSTAV, s.r.o.</t>
  </si>
  <si>
    <t>Petr Malík</t>
  </si>
  <si>
    <t>MarsLand s.r.o.</t>
  </si>
  <si>
    <t>Bc. Lucie Maršálková Holíková</t>
  </si>
  <si>
    <t>Martin Dobrovolný</t>
  </si>
  <si>
    <t>Ing. Radek Martínek</t>
  </si>
  <si>
    <t>Martin Holub</t>
  </si>
  <si>
    <t>Martin Jaroš</t>
  </si>
  <si>
    <t>MARTIN POWER a.s.</t>
  </si>
  <si>
    <t>Martin Žemlička</t>
  </si>
  <si>
    <t>MASTERTEC GmbH u. Co.KG</t>
  </si>
  <si>
    <t>Josef Matějka</t>
  </si>
  <si>
    <t>MAVI monolity s.r.o.</t>
  </si>
  <si>
    <t>MAXAUDIO s.r.o.</t>
  </si>
  <si>
    <t>MAX FRANK</t>
  </si>
  <si>
    <t>MC - Bauchemie s.r.o.</t>
  </si>
  <si>
    <t>MEDIO BRAND s.r.o.</t>
  </si>
  <si>
    <t>MEDIUM INTERNATIONAL I. s.r.o.</t>
  </si>
  <si>
    <t>MEMBER, s.r.o.</t>
  </si>
  <si>
    <t>METALL QUATRO spol. s r.o.</t>
  </si>
  <si>
    <t>METRIE spol. s r.o.</t>
  </si>
  <si>
    <t>Metrostav a.s.</t>
  </si>
  <si>
    <t>Metrostav, divize 1</t>
  </si>
  <si>
    <t>Metrostav divize 3</t>
  </si>
  <si>
    <t>Metrostav, divize 6</t>
  </si>
  <si>
    <t>Metrostav, divize 8</t>
  </si>
  <si>
    <t>Metrostav, divize 9</t>
  </si>
  <si>
    <t>Metrostav DIZ s.r.o.</t>
  </si>
  <si>
    <t>Metrostav stavebniny, s.r.o.</t>
  </si>
  <si>
    <t>MFC - MORFICO s.r.o.</t>
  </si>
  <si>
    <t>MIKROTECHNA s.r.o.</t>
  </si>
  <si>
    <t>MIRAS - stavitelství a sanace s.r.o.</t>
  </si>
  <si>
    <t>Mirel Vratimov a.s.</t>
  </si>
  <si>
    <t>MI Roads a.s.</t>
  </si>
  <si>
    <t>MIRRA czech. s.r.o.</t>
  </si>
  <si>
    <t>MM ARMO s.r.o.</t>
  </si>
  <si>
    <t>MONOKON s.r.o.</t>
  </si>
  <si>
    <t>MONOLITHIC CONSTRUCTIONS s.r.o.</t>
  </si>
  <si>
    <t>Monolity - Bau, s.r.o.</t>
  </si>
  <si>
    <t>MonoRea s.r.o.</t>
  </si>
  <si>
    <t>MoNoStav M&amp;P s.r.o.</t>
  </si>
  <si>
    <t>mont.beo s.r.o.</t>
  </si>
  <si>
    <t>Petra Mottlová</t>
  </si>
  <si>
    <t>Mudicon s.r.o.</t>
  </si>
  <si>
    <t>Mutiscan - Nemocnice Hořovice</t>
  </si>
  <si>
    <t>Mykhaylo Telega</t>
  </si>
  <si>
    <t>MYSTAV, spol. s r.o.</t>
  </si>
  <si>
    <t>MZ Hutní materiály s. r. o.</t>
  </si>
  <si>
    <t>NEISSE s.r.o.</t>
  </si>
  <si>
    <t>N E K A P, spol. s r.o.</t>
  </si>
  <si>
    <t>NEOL - STAV, s.r.o.</t>
  </si>
  <si>
    <t>Mgr. Pavel Neprášek</t>
  </si>
  <si>
    <t>Nevoga s.r.o.</t>
  </si>
  <si>
    <t>Nevoga s.r.o. Auslieferungslager</t>
  </si>
  <si>
    <t>NG Consulting s.r.o.</t>
  </si>
  <si>
    <t>Node Advert s.r.o.</t>
  </si>
  <si>
    <t>NOVA INVEST s.r.o.</t>
  </si>
  <si>
    <t>NOVECON a.s.</t>
  </si>
  <si>
    <t>Ing. Ivo Novotný</t>
  </si>
  <si>
    <t>NOWASTAV akciová společnost</t>
  </si>
  <si>
    <t>NPM - stavební společnost, s.r.o.</t>
  </si>
  <si>
    <t>Nucasa s.r.o.</t>
  </si>
  <si>
    <t>Numistav s.r.o.</t>
  </si>
  <si>
    <t>OB-LIGO REALIZACE STAVEB S.R.O.</t>
  </si>
  <si>
    <t>OHLA ŽS, a.s.</t>
  </si>
  <si>
    <t>OHL ŽS, a.s.</t>
  </si>
  <si>
    <t>OHRID MAK s.r.o.</t>
  </si>
  <si>
    <t>OLAM-KESEF s.r.o.</t>
  </si>
  <si>
    <t>OLI MONOCONSTRUCT s.r.o.</t>
  </si>
  <si>
    <t>ONIO s.r.o.</t>
  </si>
  <si>
    <t>OPIRSTAV INVEST s.r.o.</t>
  </si>
  <si>
    <t>OP TIGER CZ s.r.o.</t>
  </si>
  <si>
    <t>ORLIBIT, s.r.o.</t>
  </si>
  <si>
    <t>ORLIMEX CZ, s.r.o.</t>
  </si>
  <si>
    <t>OSBET BETON s.r.o.</t>
  </si>
  <si>
    <t>OWN Development s.r.o.</t>
  </si>
  <si>
    <t>OZ Trading, s.r.o.</t>
  </si>
  <si>
    <t>PAC Hořovice s.r.o.</t>
  </si>
  <si>
    <t>Alena Palková</t>
  </si>
  <si>
    <t>PALPRO s.r.o.</t>
  </si>
  <si>
    <t>PAMA Poděbrady s.r.o.</t>
  </si>
  <si>
    <t>PAMÁTKY TÁBOR, s.r.o.</t>
  </si>
  <si>
    <t>PANALEX GmbH</t>
  </si>
  <si>
    <t>PASCHAL s.r.o.</t>
  </si>
  <si>
    <t>Pas Natura</t>
  </si>
  <si>
    <t>Paulolo company s.r.o.</t>
  </si>
  <si>
    <t>Pavel PROŠEK</t>
  </si>
  <si>
    <t>Pavlínek s.r.o.</t>
  </si>
  <si>
    <t>PEIKKO CZECH REPUBLIC s.r.o.</t>
  </si>
  <si>
    <t>PEMATROS s.r.o.</t>
  </si>
  <si>
    <t>PEPI LEAS s.r.o.</t>
  </si>
  <si>
    <t>PERI, spol. s r.o.</t>
  </si>
  <si>
    <t>Petr Hejhal</t>
  </si>
  <si>
    <t>Petr Procházka</t>
  </si>
  <si>
    <t>PEVE Construct s.r.o.</t>
  </si>
  <si>
    <t>Pflaument Investment, s.r.o.</t>
  </si>
  <si>
    <t>PHARMOS, a.s.</t>
  </si>
  <si>
    <t>PILA MARTINICE s.r.o.</t>
  </si>
  <si>
    <t>Ing. Petr Pilař</t>
  </si>
  <si>
    <t>PIPEPLAST - SANITOP s.r.o.</t>
  </si>
  <si>
    <t>Milan Piskáček</t>
  </si>
  <si>
    <t>Planispe company s.r.o.</t>
  </si>
  <si>
    <t>Pneu Hořejší, s.r.o.</t>
  </si>
  <si>
    <t>Podzemní stavby Brno, s.r.o.</t>
  </si>
  <si>
    <t>PohlCon Česká republika s.r.o.</t>
  </si>
  <si>
    <t>POHL cz, a.s.</t>
  </si>
  <si>
    <t>POLATA s.r.o.</t>
  </si>
  <si>
    <t>Tomáš Polata</t>
  </si>
  <si>
    <t>por formi s.r.o.</t>
  </si>
  <si>
    <t>PORR a.s.</t>
  </si>
  <si>
    <t>potisk pásek s.r.o.</t>
  </si>
  <si>
    <t>Petra Potůčková</t>
  </si>
  <si>
    <t>POZIMOS, a.s.</t>
  </si>
  <si>
    <t>PPP, spol. s r.o.</t>
  </si>
  <si>
    <t>PP 53, a.s.</t>
  </si>
  <si>
    <t>PRAGIS a.s.</t>
  </si>
  <si>
    <t>Jan Prach</t>
  </si>
  <si>
    <t>Jitka Prach Opatrná</t>
  </si>
  <si>
    <t>Prefab Factory a.s.</t>
  </si>
  <si>
    <t>Prefa Hubenov s.r.o.</t>
  </si>
  <si>
    <t>PREFA PRAHA a.s.</t>
  </si>
  <si>
    <t>PREFA Roudná s. r. o.</t>
  </si>
  <si>
    <t>PREFA Troubelice a.s.</t>
  </si>
  <si>
    <t>Vojtěch Pressl</t>
  </si>
  <si>
    <t>PRESTOL holding, a.s.</t>
  </si>
  <si>
    <t>PRIMA, akciová společnost</t>
  </si>
  <si>
    <t>PRIMA PLZEŇ s.r.o.</t>
  </si>
  <si>
    <t>PRIMAPOL-METAL-SPOT s.r.o.</t>
  </si>
  <si>
    <t>PROBETON servis s.r.o.</t>
  </si>
  <si>
    <t>PRO-DOMA</t>
  </si>
  <si>
    <t>proFERRUM s.r.o.</t>
  </si>
  <si>
    <t>Professional Building - stavební společnost, s.r.o.</t>
  </si>
  <si>
    <t>Profi-BAU Chrudim, s.r.o.</t>
  </si>
  <si>
    <t>PROFI - TESAŘI s.r.o.</t>
  </si>
  <si>
    <t>PROMONOLITY s.r.o.</t>
  </si>
  <si>
    <t>PROMO REAL GROUP s.r.o.</t>
  </si>
  <si>
    <t>PROSTAMO s.r.o.</t>
  </si>
  <si>
    <t>PROSTAV CZ, spol. s r.o.</t>
  </si>
  <si>
    <t>Prostav, s.r.o.</t>
  </si>
  <si>
    <t>PROTOM Strakonice, s.r.o.</t>
  </si>
  <si>
    <t>PRŮMSTAV, a.s./Vinci Construct</t>
  </si>
  <si>
    <t>Radek Prušák</t>
  </si>
  <si>
    <t>První podještědská stavební spol. s r.o.</t>
  </si>
  <si>
    <t>PSP.ADV-GROUP s.r.o.</t>
  </si>
  <si>
    <t>PSP - GDS, s.r.o.</t>
  </si>
  <si>
    <t>Ptáček - velkoobchod, a.s.</t>
  </si>
  <si>
    <t>PVS MONOLIT s.r.o.</t>
  </si>
  <si>
    <t>PZS servisní s.r.o.</t>
  </si>
  <si>
    <t>Quart Construct s.r.o.</t>
  </si>
  <si>
    <t>Jaroslav Ráb</t>
  </si>
  <si>
    <t>Václav Rambouský</t>
  </si>
  <si>
    <t>Rastr-V s.r.o.</t>
  </si>
  <si>
    <t>RAVEN CZ a.s.</t>
  </si>
  <si>
    <t>RAYNET s.r.o.</t>
  </si>
  <si>
    <t>RB STAVBY s.r.o.</t>
  </si>
  <si>
    <t>Regionální stavební s.r.o.</t>
  </si>
  <si>
    <t>Mgr. Michal Reichert, advokát</t>
  </si>
  <si>
    <t>REKAWI s.r.o.</t>
  </si>
  <si>
    <t>rekonstrukce - modernizace - stavby s. r. o.</t>
  </si>
  <si>
    <t>REKOSTA PLUS s.r.o.</t>
  </si>
  <si>
    <t>REMEX CZ a.s.</t>
  </si>
  <si>
    <t>RENATYS, spol. s r.o.</t>
  </si>
  <si>
    <t>RESTAV ČECH, s.r.o.</t>
  </si>
  <si>
    <t>RETIC CZ, s.r.o.</t>
  </si>
  <si>
    <t>REVOR GROUP s.r.o.</t>
  </si>
  <si>
    <t>Ridera Stavební a.s.</t>
  </si>
  <si>
    <t>RIISE CZ, s.r.o.</t>
  </si>
  <si>
    <t>RMC STAVBY s.r.o.</t>
  </si>
  <si>
    <t>ROADFIN BUILDING s.r.o.</t>
  </si>
  <si>
    <t>ROCK SALT, s.r.o.</t>
  </si>
  <si>
    <t>ROKETRANS s.r.o.</t>
  </si>
  <si>
    <t>ROLAND CZ s.r.o.</t>
  </si>
  <si>
    <t>ROLAND monolity s.r.o.</t>
  </si>
  <si>
    <t>RONELI Stavby SE</t>
  </si>
  <si>
    <t>ROSSANO BUILDING s.r.o.</t>
  </si>
  <si>
    <t>Rowline s.r.o.</t>
  </si>
  <si>
    <t>ROXMONT s.r.o.</t>
  </si>
  <si>
    <t>RP stav s.r.o.</t>
  </si>
  <si>
    <t>RS Monolit s. r. o.</t>
  </si>
  <si>
    <t>RUBY Project Management s.r.o.</t>
  </si>
  <si>
    <t>RYMAX TRADE s.r.o.</t>
  </si>
  <si>
    <t>SALVETE spol. s r.o.</t>
  </si>
  <si>
    <t>SANAX chemical construction s.r.o.</t>
  </si>
  <si>
    <t>SARK engineering, s.r.o.</t>
  </si>
  <si>
    <t>SASYN &amp; ELBL, s.r.o.</t>
  </si>
  <si>
    <t>SATPO, a.s.</t>
  </si>
  <si>
    <t>S-B s.r.o.</t>
  </si>
  <si>
    <t>SBS stav s.r.o.</t>
  </si>
  <si>
    <t>SBT stavby s.r.o.</t>
  </si>
  <si>
    <t>Scania Czech Republic s.r.o.</t>
  </si>
  <si>
    <t>SDMstav Praha s.r.o</t>
  </si>
  <si>
    <t>Jiří SEKYRKA</t>
  </si>
  <si>
    <t>SEKYRKA  s.r.o.</t>
  </si>
  <si>
    <t>SENEA spol. s r.o.</t>
  </si>
  <si>
    <t>SF Stavební s.r.o.</t>
  </si>
  <si>
    <t>SHAPE ART s.r.o.</t>
  </si>
  <si>
    <t>S &amp; H stavební a obchodní firma spol. s r.o.</t>
  </si>
  <si>
    <t>SCHENKER spol.s r.o.</t>
  </si>
  <si>
    <t>SCHIPRO, s.r.o.</t>
  </si>
  <si>
    <t>Schöberl s.r.o.</t>
  </si>
  <si>
    <t>Schöck - Wittek s.r.o.</t>
  </si>
  <si>
    <t>SIGNUM stavební stroje s.r.o.</t>
  </si>
  <si>
    <t>S.I.G.T. s.r.o.</t>
  </si>
  <si>
    <t>Sika CZ, s.r.o.</t>
  </si>
  <si>
    <t>Silic Média s.r.o.</t>
  </si>
  <si>
    <t>SILNICE ČÁSLAV-HOLDING</t>
  </si>
  <si>
    <t>SILNICE GROUP a.s.</t>
  </si>
  <si>
    <t>Simaco Reconstruction &amp; Maintenance s.r.o.</t>
  </si>
  <si>
    <t>Simple Progress s.r.o.</t>
  </si>
  <si>
    <t>Martin Sinkule</t>
  </si>
  <si>
    <t>SIS Systémy a.s.</t>
  </si>
  <si>
    <t>SIZ s.r.o.</t>
  </si>
  <si>
    <t>Skanska a.s.</t>
  </si>
  <si>
    <t>SK Hořovice, z.s.</t>
  </si>
  <si>
    <t>SKR stav, s.r.o.</t>
  </si>
  <si>
    <t>SLÁDEK GROUP, a.s.</t>
  </si>
  <si>
    <t>SMARTTECH s.r.o.</t>
  </si>
  <si>
    <t>Smarty CZ a.s.</t>
  </si>
  <si>
    <t>SMP CZ a.s., Základní organizace OS Stavba ČR</t>
  </si>
  <si>
    <t>SMP Vodohospodářské stavby a.s.</t>
  </si>
  <si>
    <t>Jiří Sokol</t>
  </si>
  <si>
    <t>SOLIDUM CZ s.r.o.</t>
  </si>
  <si>
    <t>SOMAX TECH spol. s r.o.</t>
  </si>
  <si>
    <t>Sostmeier Automotive GmbH</t>
  </si>
  <si>
    <t>SOSTMEIER s.r.o.</t>
  </si>
  <si>
    <t>Gabriela Soukalová</t>
  </si>
  <si>
    <t>Spektra PRO spol. s r.o.</t>
  </si>
  <si>
    <t>SPELDE s.r.o.</t>
  </si>
  <si>
    <t>Společnost T.A.Q. s.r.o.</t>
  </si>
  <si>
    <t>STABIA s.r.o.</t>
  </si>
  <si>
    <t>STADEMP Group s.r.o.</t>
  </si>
  <si>
    <t>STADOS, spol. s r.o.</t>
  </si>
  <si>
    <t>STAFIN a.s.</t>
  </si>
  <si>
    <t>STAFITECH s.r.o.</t>
  </si>
  <si>
    <t>Stach.cz stavby s.r.o.</t>
  </si>
  <si>
    <t>S T A K O společnost s ručením omezeným</t>
  </si>
  <si>
    <t>STAMA PRIMA s.r.o.</t>
  </si>
  <si>
    <t>STAMONT CZ s.r.o.</t>
  </si>
  <si>
    <t>STAMOS Uherské Hradiště, spol. s r.o.</t>
  </si>
  <si>
    <t>STAREDO s.r.o.</t>
  </si>
  <si>
    <t>STARKHERR s.r.o.</t>
  </si>
  <si>
    <t>STARSTAV s.r.o.</t>
  </si>
  <si>
    <t>STASELI s.r.o.</t>
  </si>
  <si>
    <t>STAS, s.r.o.</t>
  </si>
  <si>
    <t>Státní fond dopravní infrastruktury</t>
  </si>
  <si>
    <t>STATUS stavební a.s.</t>
  </si>
  <si>
    <t>STAVARO-SPOL s.r.o.</t>
  </si>
  <si>
    <t>STAVBIL s.r.o.</t>
  </si>
  <si>
    <t>Stavby Niros s.r.o.</t>
  </si>
  <si>
    <t>STAVBY-PLOZER s.r.o.</t>
  </si>
  <si>
    <t>Stavební firma Dráb a spol., s.r.o.</t>
  </si>
  <si>
    <t>Stavební firma HOBST a.s.</t>
  </si>
  <si>
    <t>Stavební firma Ječmínek, spol. s r. o.</t>
  </si>
  <si>
    <t>Stavební firma JICA s.r.o.</t>
  </si>
  <si>
    <t>Stavebniny DEK a.s.</t>
  </si>
  <si>
    <t>Stavební společnost RBK a.s.</t>
  </si>
  <si>
    <t>Stavební společnost SIPA s.r.o.</t>
  </si>
  <si>
    <t>Stavekomont s.r.o.</t>
  </si>
  <si>
    <t>STAVEKO, spol. s r.o.</t>
  </si>
  <si>
    <t>STAVIREZEK s.r.o.</t>
  </si>
  <si>
    <t>STAVITELSTVÍ JOKEŠ, spol. s r.o.</t>
  </si>
  <si>
    <t>Stavitelství Kamínek s.r.o.</t>
  </si>
  <si>
    <t>STAVITELSTVÍ KAREL VÁCHA A SYN s.r.o.</t>
  </si>
  <si>
    <t>Stavitelství Kladno spol. s r.o.</t>
  </si>
  <si>
    <t>Stavitelství­ Luňáček s.r.o</t>
  </si>
  <si>
    <t>Stavitelství MAAD s.r.o.</t>
  </si>
  <si>
    <t>Stavitelství - Mutl, s.r.o.</t>
  </si>
  <si>
    <t>Stavitelství SIZO s.r.o.</t>
  </si>
  <si>
    <t>Stavitelství ŠMÍD s.r.o.</t>
  </si>
  <si>
    <t>STAVITELSTVÍ ŠTÝS</t>
  </si>
  <si>
    <t>Stavitelství Vlček s.r.o.</t>
  </si>
  <si>
    <t>STAVMAT STAVEBNINY a.s.</t>
  </si>
  <si>
    <t>STAVOS Benešov s.r.o.</t>
  </si>
  <si>
    <t>STAVOTRANS, s.r.o.</t>
  </si>
  <si>
    <t>Stav-Por Stavebnictví s.r.o.</t>
  </si>
  <si>
    <t>StavProdukt s.r.o.</t>
  </si>
  <si>
    <t>STAVTEN s.r.o.</t>
  </si>
  <si>
    <t>STAVUM, spol. s r.o.</t>
  </si>
  <si>
    <t>STEELAG Praha s.r.o.</t>
  </si>
  <si>
    <t>STEEL EFECT a.s.</t>
  </si>
  <si>
    <t>Stenco s.r.o.</t>
  </si>
  <si>
    <t>STEP, spol.s r.o.</t>
  </si>
  <si>
    <t>Stingl Systems GmbH</t>
  </si>
  <si>
    <t>STORMWARE s.r.o.</t>
  </si>
  <si>
    <t>STRABAG a.s.</t>
  </si>
  <si>
    <t>Alena Streerová</t>
  </si>
  <si>
    <t>S u b t e r r a a.s.</t>
  </si>
  <si>
    <t>Subterra a.s. divize 1</t>
  </si>
  <si>
    <t>Subterra a.s. divize 2</t>
  </si>
  <si>
    <t>Subterra a.s. divize 3</t>
  </si>
  <si>
    <t>Subterra a.s. divize 4</t>
  </si>
  <si>
    <t>Subterra a.s. divize 5</t>
  </si>
  <si>
    <t>SUPRASTAV PRAHA , s.r.o.</t>
  </si>
  <si>
    <t>Lukáš Sutr</t>
  </si>
  <si>
    <t>SWIETELSKY Rail CZ s.r.o.</t>
  </si>
  <si>
    <t>SWIETELSKY stavební s.r.o.</t>
  </si>
  <si>
    <t>SYB s.r.o.</t>
  </si>
  <si>
    <t>SYNER, s.r.o.</t>
  </si>
  <si>
    <t>s3 stavby</t>
  </si>
  <si>
    <t>Š + H Bohunice, s.r.o.</t>
  </si>
  <si>
    <t>ŠIMÁČEK - STAVBY, spol. s r.o.</t>
  </si>
  <si>
    <t>Šlechtitelská stanice vinařská Velké Pavlovice, a.s.</t>
  </si>
  <si>
    <t>Petr Špimr</t>
  </si>
  <si>
    <t>Pavel Štěpnička</t>
  </si>
  <si>
    <t>Petr Štochl</t>
  </si>
  <si>
    <t>Petr Šťovíček</t>
  </si>
  <si>
    <t>Jan Štulc</t>
  </si>
  <si>
    <t>ŠUSTR STAVBY s.r.o.</t>
  </si>
  <si>
    <t>David Švehla</t>
  </si>
  <si>
    <t>TABOT, s.r.o.</t>
  </si>
  <si>
    <t>Tango, spol. s r.o.</t>
  </si>
  <si>
    <t>TAZATA, spol. s r.o.</t>
  </si>
  <si>
    <t>TAŽENÉ KONSTRUKCE, spol. s r. o.</t>
  </si>
  <si>
    <t>TECHNIMAT s.r.o.</t>
  </si>
  <si>
    <t>TEKTON CZ s.r.o.</t>
  </si>
  <si>
    <t>TEMASTAV s.r.o.</t>
  </si>
  <si>
    <t>TEPSYSTEM s.r.o.</t>
  </si>
  <si>
    <t>TERMIL s.r.o.</t>
  </si>
  <si>
    <t>TERRACON a.s.</t>
  </si>
  <si>
    <t>TERRASYSTEM, s.r.o.</t>
  </si>
  <si>
    <t>Václav Tichý</t>
  </si>
  <si>
    <t>TIMA, spol. s r.o. - obchodně výrobní služby</t>
  </si>
  <si>
    <t>Tisk Kvalitně, s.r.o.</t>
  </si>
  <si>
    <t>TMC montáž plus s.r.o.</t>
  </si>
  <si>
    <t>T-Mobile Czech Republic a.s.</t>
  </si>
  <si>
    <t>TOMA Olomouc, s.r.o.</t>
  </si>
  <si>
    <t>TOMASY s.r.o.</t>
  </si>
  <si>
    <t>Tomáš Zelenka</t>
  </si>
  <si>
    <t>TOOLS CB s. r. o.</t>
  </si>
  <si>
    <t>TOP CONSTRUCT, s.r.o.</t>
  </si>
  <si>
    <t>TOPTRANS EU, a.s.</t>
  </si>
  <si>
    <t>Trackito Technology Czech Republic, s.r.o.</t>
  </si>
  <si>
    <t>TrendInvest Company a. s.</t>
  </si>
  <si>
    <t>TREZOR TEST s.r.o.</t>
  </si>
  <si>
    <t>Trigema Building a.s.</t>
  </si>
  <si>
    <t>TRUTESPOL MONOLITY s.r.o.</t>
  </si>
  <si>
    <t>TTJ, s.r.o.</t>
  </si>
  <si>
    <t>T-TRANSPORTBETON s.r.o.</t>
  </si>
  <si>
    <t>TURTO s.r.o.</t>
  </si>
  <si>
    <t>T4 Building s.r.o.</t>
  </si>
  <si>
    <t>ULMA Construcción CZ, s.r.o.</t>
  </si>
  <si>
    <t>ULMA s.r.o.</t>
  </si>
  <si>
    <t>UNIBUILDING s.r.o.</t>
  </si>
  <si>
    <t>UNI DEVELO s.r.o.</t>
  </si>
  <si>
    <t>UNIKO PÍSEK, s.r.o.</t>
  </si>
  <si>
    <t>UNIQA pojišťovna, a.s.</t>
  </si>
  <si>
    <t>UNISTAV CONSTRUCTION a.s.</t>
  </si>
  <si>
    <t>Unostav s.r.o.</t>
  </si>
  <si>
    <t>VALENS, s.r.o.</t>
  </si>
  <si>
    <t>VALME s.r.o.</t>
  </si>
  <si>
    <t>VALNETIS GROUP a.s.</t>
  </si>
  <si>
    <t>Valsabbia Praha, s.r.o.</t>
  </si>
  <si>
    <t>Tomáš Valtr</t>
  </si>
  <si>
    <t>Miroslav Vaněk</t>
  </si>
  <si>
    <t>Josef VANÍČEK</t>
  </si>
  <si>
    <t>VAPCE s.r.o.</t>
  </si>
  <si>
    <t>VAVOSTAV monolity s.r.o.</t>
  </si>
  <si>
    <t>VCES a.s.</t>
  </si>
  <si>
    <t>V.D.O. Group s.r.o.</t>
  </si>
  <si>
    <t>VEDUTA s.r.o.</t>
  </si>
  <si>
    <t>VEKREMAN, s.r.o.</t>
  </si>
  <si>
    <t>VELTON REAL ESTATE s.r.o.</t>
  </si>
  <si>
    <t>VIKNAVI s.r.o.</t>
  </si>
  <si>
    <t>Milan Vildman</t>
  </si>
  <si>
    <t>Vision Construct s.r.o.</t>
  </si>
  <si>
    <t>VISTORIA CZ a.s.</t>
  </si>
  <si>
    <t>VOBEKO s.r.o.</t>
  </si>
  <si>
    <t>Mgr. Michal Vojíř</t>
  </si>
  <si>
    <t>VOK Beroun, spol. s r.o.</t>
  </si>
  <si>
    <t>Ing. Jiří VOKURKA</t>
  </si>
  <si>
    <t>Volodymyr Homzyak</t>
  </si>
  <si>
    <t>VOLTÍK elektro, s.r.o.</t>
  </si>
  <si>
    <t>Votická stavební spol. s r.o.</t>
  </si>
  <si>
    <t>VRABEC a VRABEC s.r.o.</t>
  </si>
  <si>
    <t>Tomáš Vrančič</t>
  </si>
  <si>
    <t>Zdeněk Vrtiška</t>
  </si>
  <si>
    <t>V-STAV A, spol. s r.o.</t>
  </si>
  <si>
    <t>František Vyštejn</t>
  </si>
  <si>
    <t>WALLKEY s.r.o.</t>
  </si>
  <si>
    <t>WATERCOOLER SYSTEM s.r.o.</t>
  </si>
  <si>
    <t>WeldMetal s.r.o.</t>
  </si>
  <si>
    <t>WESPA CZ s.r.o.</t>
  </si>
  <si>
    <t>WESPO Bohemia a.s.</t>
  </si>
  <si>
    <t>What The Hill s.r.o.</t>
  </si>
  <si>
    <t>Winning PS - Pamstav s.r.o.</t>
  </si>
  <si>
    <t>Winning PS - stavební firma s.r.o.</t>
  </si>
  <si>
    <t>W. Markgraf stav s.r.o.</t>
  </si>
  <si>
    <t>WOBEYDA, spol. s r. o.</t>
  </si>
  <si>
    <t>W &amp; W STAVBY s.r.o.</t>
  </si>
  <si>
    <t>Zátorka spol. s r.o.</t>
  </si>
  <si>
    <t>ZEROSTAV inženýring, a.s.</t>
  </si>
  <si>
    <t>ZETA BENÁTKY s.r.o.</t>
  </si>
  <si>
    <t>ZETES KT, spol. s r.o.</t>
  </si>
  <si>
    <t>Zimní stadion Hořovice s.r.o.</t>
  </si>
  <si>
    <t>Christos Ziopulos</t>
  </si>
  <si>
    <t>Zlínstav a.s.</t>
  </si>
  <si>
    <t>ZL interiér s.r.o.</t>
  </si>
  <si>
    <t>ZSE s.r.o.</t>
  </si>
  <si>
    <t>ZVÁNOVEC a.s.</t>
  </si>
  <si>
    <t>Petr Žitník</t>
  </si>
  <si>
    <t>2V - Invest s.r.o.</t>
  </si>
  <si>
    <t>3D monolity s.r.o.</t>
  </si>
  <si>
    <t>3K stavby s.r.o.</t>
  </si>
  <si>
    <t>3xN spol. s r.o.</t>
  </si>
  <si>
    <t>Klient</t>
  </si>
  <si>
    <t>k 3.1.2026</t>
  </si>
  <si>
    <t>Michal Voplakal</t>
  </si>
  <si>
    <t>připraveno</t>
  </si>
  <si>
    <t>zpracováno</t>
  </si>
  <si>
    <t>Stav</t>
  </si>
  <si>
    <t>Deadline</t>
  </si>
  <si>
    <t>Schod</t>
  </si>
  <si>
    <t>Iso</t>
  </si>
  <si>
    <t>Vylam</t>
  </si>
  <si>
    <t>Smyk</t>
  </si>
  <si>
    <t>Vibr</t>
  </si>
  <si>
    <t>Prost</t>
  </si>
  <si>
    <t>Info od</t>
  </si>
  <si>
    <t>zrušeno</t>
  </si>
  <si>
    <t>jiný</t>
  </si>
  <si>
    <t>Poptáno</t>
  </si>
  <si>
    <t>Obdrženo</t>
  </si>
  <si>
    <t>Leviat</t>
  </si>
  <si>
    <t>PohlCon</t>
  </si>
  <si>
    <t>MaxFrank</t>
  </si>
  <si>
    <t>GeroTop</t>
  </si>
  <si>
    <t>Peikko</t>
  </si>
  <si>
    <t>Pro-Doma</t>
  </si>
  <si>
    <t>Nevoga</t>
  </si>
  <si>
    <t>Dodavatel</t>
  </si>
  <si>
    <t>Pragoelast</t>
  </si>
  <si>
    <t>BD Petrská 18</t>
  </si>
  <si>
    <t>plastové distance</t>
  </si>
  <si>
    <t xml:space="preserve">smykovka </t>
  </si>
  <si>
    <t>Jirka</t>
  </si>
  <si>
    <t>1,5.NP</t>
  </si>
  <si>
    <t>Anglické nábřeží</t>
  </si>
  <si>
    <t>RD Vonoklasy</t>
  </si>
  <si>
    <t>distance na hotel</t>
  </si>
  <si>
    <t>Marcela</t>
  </si>
  <si>
    <t>ocel hlazenka pro Kovohryz</t>
  </si>
  <si>
    <t>smykovka</t>
  </si>
  <si>
    <t>Poptáváno</t>
  </si>
  <si>
    <t>izolační nosníky</t>
  </si>
  <si>
    <t>smyková výztuž</t>
  </si>
  <si>
    <t>lenton spojky</t>
  </si>
  <si>
    <t>prostupy</t>
  </si>
  <si>
    <t>Uvedená akce</t>
  </si>
  <si>
    <t>ano</t>
  </si>
  <si>
    <t>ne</t>
  </si>
  <si>
    <t>vylamovací výztuž</t>
  </si>
  <si>
    <t>mezivýplň</t>
  </si>
  <si>
    <t>Předmět mailu</t>
  </si>
  <si>
    <t>OS Podlesí</t>
  </si>
  <si>
    <t>HIT - statické tabulky</t>
  </si>
  <si>
    <t>Únosnosti Leviat - HIT MVX</t>
  </si>
  <si>
    <t>Královské louky, KV</t>
  </si>
  <si>
    <t>optimalizace</t>
  </si>
  <si>
    <t>Za Valem D1-D3</t>
  </si>
  <si>
    <t>zřejmě dělal návrh</t>
  </si>
  <si>
    <t>RD Sušice</t>
  </si>
  <si>
    <t>GMYS</t>
  </si>
  <si>
    <t>ISOLINK</t>
  </si>
  <si>
    <t>Milan</t>
  </si>
  <si>
    <t>Gmys - ISOLINK</t>
  </si>
  <si>
    <t>1x125 radon, 10x110 kanalda, 3x něco</t>
  </si>
  <si>
    <t>viz mail, co jsou to AWTH podložky</t>
  </si>
  <si>
    <t>Papírna N1</t>
  </si>
  <si>
    <t>Medový újezd</t>
  </si>
  <si>
    <t>optimalizace Voplakal - zadáno</t>
  </si>
  <si>
    <t>atyp vylamovák, hodně odhadem</t>
  </si>
  <si>
    <t>atyp vylamovák, hodně odhadem, upravit dle Rollandu</t>
  </si>
  <si>
    <t>izonosníky</t>
  </si>
  <si>
    <t>carbo lamela???</t>
  </si>
  <si>
    <t>BD Parmská</t>
  </si>
  <si>
    <t>BD Světova</t>
  </si>
  <si>
    <t>viz papír</t>
  </si>
  <si>
    <t>JFP TRADE</t>
  </si>
  <si>
    <t>Sylomer</t>
  </si>
  <si>
    <t>sylomer</t>
  </si>
  <si>
    <t>BD Rokycany</t>
  </si>
  <si>
    <t>izo</t>
  </si>
  <si>
    <t>viz papírek</t>
  </si>
  <si>
    <t>ZOO Ostrava</t>
  </si>
  <si>
    <t>PSG Construction a.s.</t>
  </si>
  <si>
    <t>mail ocelové hady</t>
  </si>
  <si>
    <t>Vibroizolace Voplakal</t>
  </si>
  <si>
    <t>Dilatace</t>
  </si>
  <si>
    <t>BD 11 Máchovna</t>
  </si>
  <si>
    <t>Campus Česká Spořitelna</t>
  </si>
  <si>
    <t>BD Slovanské údolí</t>
  </si>
  <si>
    <t>mail Honza</t>
  </si>
  <si>
    <t>Honza</t>
  </si>
  <si>
    <t>mail Honza, fake RD Zdice</t>
  </si>
  <si>
    <t>BD Záběhlická</t>
  </si>
  <si>
    <t>poslat Voplakal</t>
  </si>
  <si>
    <t>vibroizolace</t>
  </si>
  <si>
    <t>Čakovice B</t>
  </si>
  <si>
    <t>viz mail</t>
  </si>
  <si>
    <t>viz mail - smykovka</t>
  </si>
  <si>
    <t>BS BETONSERVIS a.s.</t>
  </si>
  <si>
    <t>BD Stromovka</t>
  </si>
  <si>
    <t>nelze stáhnout PD, nabídka dle výkazu</t>
  </si>
  <si>
    <t>viz PORR a PEVE</t>
  </si>
  <si>
    <t>viz Voplakal</t>
  </si>
  <si>
    <t>FN Plzeň - pavilon chirurgických oborů</t>
  </si>
  <si>
    <t>info do budoucna</t>
  </si>
  <si>
    <t>Info - FN Plzeň - pavilon chirurgických oborů</t>
  </si>
  <si>
    <t xml:space="preserve">posláno </t>
  </si>
  <si>
    <t>nakonec neřešit</t>
  </si>
  <si>
    <t>probrat s Danem, zda je možnost optimalizace</t>
  </si>
  <si>
    <t>Čestlice objekt B</t>
  </si>
  <si>
    <t>DÁT INFO</t>
  </si>
  <si>
    <t>MIVO</t>
  </si>
  <si>
    <t>Smíchov City</t>
  </si>
  <si>
    <t>poptávka MIVO</t>
  </si>
  <si>
    <t>kluzná ložiska</t>
  </si>
  <si>
    <t>Petruškova - 3.NP</t>
  </si>
  <si>
    <t>znova poptáno</t>
  </si>
  <si>
    <t>BD Lochkov II</t>
  </si>
  <si>
    <t xml:space="preserve">Halfen HKW </t>
  </si>
  <si>
    <t>Parkovací dům Kolín</t>
  </si>
  <si>
    <t>EXPAN</t>
  </si>
  <si>
    <t>dilatační profil</t>
  </si>
  <si>
    <t>mail distance</t>
  </si>
  <si>
    <t>mail distance, vylamováky</t>
  </si>
  <si>
    <t>připravit ceník - dl,drupak, hady, hvbt</t>
  </si>
  <si>
    <t>dilatace</t>
  </si>
  <si>
    <t>BLUDNÉ</t>
  </si>
  <si>
    <t>RD Malčice</t>
  </si>
  <si>
    <t>Luka Hrabětice</t>
  </si>
  <si>
    <t>Záměna za Sylomer - prefa koupelny - 6.3.2026</t>
  </si>
  <si>
    <t>viz Honza</t>
  </si>
  <si>
    <t>čekáme na izo</t>
  </si>
  <si>
    <t>schoeck Gmys</t>
  </si>
  <si>
    <t>Halfen HTF</t>
  </si>
  <si>
    <t xml:space="preserve">poptáno izo </t>
  </si>
  <si>
    <t>BD Olomouc</t>
  </si>
  <si>
    <t>izo + ve výkazu i trny, vylam a LENTONY, taky CN?</t>
  </si>
  <si>
    <t>specifikace JSDS trnu?</t>
  </si>
  <si>
    <t>BD Jezírko</t>
  </si>
  <si>
    <t>ČOV Rozvadov</t>
  </si>
  <si>
    <t>nemají</t>
  </si>
  <si>
    <t>Beroun Pískovna</t>
  </si>
  <si>
    <t>schodiště, vylamováky, izonosníky??</t>
  </si>
  <si>
    <t>RD Hlásná Třebáň</t>
  </si>
  <si>
    <t>dtto Linarit - SECUFLEX  (+Jirka BPBP)</t>
  </si>
  <si>
    <t>BD Břeclav</t>
  </si>
  <si>
    <t>TULiberec</t>
  </si>
  <si>
    <t>RD Hostivice</t>
  </si>
  <si>
    <t>BD Vinice</t>
  </si>
  <si>
    <t>fake Záběhice</t>
  </si>
  <si>
    <t>1.PP - izonosníky</t>
  </si>
  <si>
    <t>DUO Living</t>
  </si>
  <si>
    <t>mejl - Brandenburger</t>
  </si>
  <si>
    <t>BD Panská Zahrada</t>
  </si>
  <si>
    <t>DIMER</t>
  </si>
  <si>
    <t>Brandenburger S4000</t>
  </si>
  <si>
    <t>SINTON X</t>
  </si>
  <si>
    <t>ceny SINTONU</t>
  </si>
  <si>
    <t>viz jirka mejl</t>
  </si>
  <si>
    <t>Hodkovičky</t>
  </si>
  <si>
    <t>mejl Honza</t>
  </si>
  <si>
    <t>vibro</t>
  </si>
  <si>
    <t>smykové trny mejl</t>
  </si>
  <si>
    <t>ATB Ruzyně</t>
  </si>
  <si>
    <t>BD Tovačovského</t>
  </si>
  <si>
    <t>Vinohradská</t>
  </si>
  <si>
    <t>BD Hořice</t>
  </si>
  <si>
    <t>4Monolity</t>
  </si>
  <si>
    <t>2.NP</t>
  </si>
  <si>
    <t>kotevní hák</t>
  </si>
  <si>
    <t>Biguma</t>
  </si>
  <si>
    <t>těsnicí profil</t>
  </si>
  <si>
    <t>P+R Depo Zličín</t>
  </si>
  <si>
    <t>posláno Mouchovi</t>
  </si>
  <si>
    <t>čekáme na IZO</t>
  </si>
  <si>
    <t>BD Na Blatnici</t>
  </si>
  <si>
    <t>Nové Centrum</t>
  </si>
  <si>
    <t>MOSAIQ Beroun</t>
  </si>
  <si>
    <t>akustika</t>
  </si>
  <si>
    <t>UP Pardubice</t>
  </si>
  <si>
    <t>RD Hořovice</t>
  </si>
  <si>
    <t>viz mejl</t>
  </si>
  <si>
    <t>RD Řeporyje</t>
  </si>
  <si>
    <t>SINTON Q</t>
  </si>
  <si>
    <t>Zahrádky</t>
  </si>
  <si>
    <t>Roland Bednění</t>
  </si>
  <si>
    <t>svislé konstrukce 2.NP - objednat na 9.4.</t>
  </si>
  <si>
    <t>Konětopy</t>
  </si>
  <si>
    <t>izo mail</t>
  </si>
  <si>
    <t>kotevní oka výtahu</t>
  </si>
  <si>
    <t>info ohledně poklopů</t>
  </si>
  <si>
    <t>RE: Poptávka TURTO - GeroTop - prostupy - 12.3.2026</t>
  </si>
  <si>
    <t>poklop</t>
  </si>
  <si>
    <t>MEA</t>
  </si>
  <si>
    <t>nemají S typy</t>
  </si>
  <si>
    <t>máme nabídky</t>
  </si>
  <si>
    <t>Bludné proudy</t>
  </si>
  <si>
    <t>nový návrh</t>
  </si>
  <si>
    <t>Cena - SINTON S36</t>
  </si>
  <si>
    <t>Troskovice</t>
  </si>
  <si>
    <t>KREYSA - stavby, s.r.o.</t>
  </si>
  <si>
    <t>izo viz mail</t>
  </si>
  <si>
    <t>BVS HK s.r.o.</t>
  </si>
  <si>
    <t>viz mejl, posláno na Máru Lomského</t>
  </si>
  <si>
    <t>Čejetičky</t>
  </si>
  <si>
    <t>viz Ardem</t>
  </si>
  <si>
    <t>BD Břevnov</t>
  </si>
  <si>
    <t>Ceny izolačních nosníků - složené / rozložené (ES)</t>
  </si>
  <si>
    <t>BD Na Kopečku</t>
  </si>
  <si>
    <t>režijní list Ondra</t>
  </si>
  <si>
    <t>aktualizace</t>
  </si>
  <si>
    <t>viz mejl distance</t>
  </si>
  <si>
    <t>BD Beroun</t>
  </si>
  <si>
    <t>RD Černošice</t>
  </si>
  <si>
    <t>fake Vonoklasy</t>
  </si>
  <si>
    <t>těsnicí vložka</t>
  </si>
  <si>
    <t>poptáno znovu</t>
  </si>
  <si>
    <t>BD Roztyly II</t>
  </si>
  <si>
    <t>viz mejl jirka</t>
  </si>
  <si>
    <t>Chelčického</t>
  </si>
  <si>
    <t>???</t>
  </si>
  <si>
    <t>viz mejl - distance</t>
  </si>
  <si>
    <t>RD Zvěřinského</t>
  </si>
  <si>
    <t>Slánský Mlýn</t>
  </si>
  <si>
    <t>RD Vyhlídková</t>
  </si>
  <si>
    <t>doprava PEIKKO?</t>
  </si>
  <si>
    <t>Víceúčelová budova Úvalská</t>
  </si>
  <si>
    <t>BD Holešovice</t>
  </si>
  <si>
    <t>Zlín</t>
  </si>
  <si>
    <t xml:space="preserve">smykový trn </t>
  </si>
  <si>
    <t>BD Doudlevecká</t>
  </si>
  <si>
    <t>izo a výtahy</t>
  </si>
  <si>
    <t>kotevní lišty</t>
  </si>
  <si>
    <t>viz Hlava Stavby</t>
  </si>
  <si>
    <t>Nový Rohan</t>
  </si>
  <si>
    <t>akce neznámá</t>
  </si>
  <si>
    <t>distance</t>
  </si>
  <si>
    <t>detaily</t>
  </si>
  <si>
    <t>Halfen Deha</t>
  </si>
  <si>
    <t>Rohan City - Sekce A</t>
  </si>
  <si>
    <t>montáže</t>
  </si>
  <si>
    <t>PVC pásy</t>
  </si>
  <si>
    <t>zrušit</t>
  </si>
  <si>
    <t>BD Musílkova</t>
  </si>
  <si>
    <t>YARD Hrdlořezy</t>
  </si>
  <si>
    <t>mail poptávka PohlCon</t>
  </si>
  <si>
    <t>BD Švehlova</t>
  </si>
  <si>
    <t>Lukáš Mareček</t>
  </si>
  <si>
    <t>RD Teplice</t>
  </si>
  <si>
    <t>kotevní body</t>
  </si>
  <si>
    <t>RD Dolní Chabry</t>
  </si>
  <si>
    <t>BD Turbova</t>
  </si>
  <si>
    <t>Hotel Havel Krč</t>
  </si>
  <si>
    <t>neumí</t>
  </si>
  <si>
    <t>Na Homoli</t>
  </si>
  <si>
    <t>PERI</t>
  </si>
  <si>
    <t>RD Vesec</t>
  </si>
  <si>
    <t>poptávka Voplakal</t>
  </si>
  <si>
    <t>RD Lidická</t>
  </si>
  <si>
    <t>BD Jateční 37</t>
  </si>
  <si>
    <t>dilatační trny?</t>
  </si>
  <si>
    <t>spojky výztuže</t>
  </si>
  <si>
    <t>Domov pro seniory Litomyšl</t>
  </si>
  <si>
    <t>ocel-beton</t>
  </si>
  <si>
    <t>BD Soběslav</t>
  </si>
  <si>
    <t>vibroizolace, PRE-TEC</t>
  </si>
  <si>
    <t>vlnová kotva</t>
  </si>
  <si>
    <t>ZŠ V Cibulkách</t>
  </si>
  <si>
    <t>Hangár letiště Čáslav</t>
  </si>
  <si>
    <t>dpcon s.r.o.</t>
  </si>
  <si>
    <t>Datové centrum Zbraslav</t>
  </si>
  <si>
    <t>BENTOMAT</t>
  </si>
  <si>
    <t>marcador</t>
  </si>
  <si>
    <t>BD Nový Zelenáč</t>
  </si>
  <si>
    <t>Černý Most</t>
  </si>
  <si>
    <t>Počenice</t>
  </si>
  <si>
    <t>Vodojem Bezdružice</t>
  </si>
  <si>
    <t>MIGUTAN</t>
  </si>
  <si>
    <t>Nové Vysočany - Pražírny</t>
  </si>
  <si>
    <t>PRE-TEC</t>
  </si>
  <si>
    <t>Centrální depozitář LK</t>
  </si>
  <si>
    <t>Bazén Vyrtych</t>
  </si>
  <si>
    <t>BD Sabinova Brno</t>
  </si>
  <si>
    <t>PD Sodovkárna</t>
  </si>
  <si>
    <t>Podklady - PP53 BD Parmská</t>
  </si>
  <si>
    <t>BD U Pivovaru II - Benešov</t>
  </si>
  <si>
    <t>Hrnčíře</t>
  </si>
  <si>
    <t>Návrh izolačních nosníků - PP53 - BD U Pivovaru II - Benešov - 20.4.2026</t>
  </si>
  <si>
    <t>čekám na izo</t>
  </si>
  <si>
    <t>viz mail Mára 21/4/2026, stěny+strop 3.NP</t>
  </si>
  <si>
    <t>Čestlice objekt C</t>
  </si>
  <si>
    <t>nejasné zadání spojky výztuže</t>
  </si>
  <si>
    <t>požádat o lepší cenu za akustiku</t>
  </si>
  <si>
    <t>Dilatace V1 - dotazy viz papír</t>
  </si>
  <si>
    <t>BD Pelhřimov</t>
  </si>
  <si>
    <t>RD Okrajova</t>
  </si>
  <si>
    <t>RD Slivenec</t>
  </si>
  <si>
    <t>ověřit, zda můžeme dát Sinton Q</t>
  </si>
  <si>
    <t>HTA</t>
  </si>
  <si>
    <t>Rezidence U Svatého Eliáše</t>
  </si>
  <si>
    <t>OS Habrovka</t>
  </si>
  <si>
    <t>SIKA</t>
  </si>
  <si>
    <t>Carbo lamela</t>
  </si>
  <si>
    <t>Poliklinika Praha</t>
  </si>
  <si>
    <t>sconnex</t>
  </si>
  <si>
    <t>zrušeno - dodávají napřímo</t>
  </si>
  <si>
    <t>Nový Rohan E6</t>
  </si>
  <si>
    <t>Lochkov towers</t>
  </si>
  <si>
    <t>Horní Maršov</t>
  </si>
  <si>
    <t>DS Třebušín</t>
  </si>
  <si>
    <t>Sika Emako</t>
  </si>
  <si>
    <t>Roman Kovalyshyn</t>
  </si>
  <si>
    <t>plech ABS</t>
  </si>
  <si>
    <t>Pitkovický Dvůr</t>
  </si>
  <si>
    <t>Hydropolis</t>
  </si>
  <si>
    <t>Vodojem Hořovice</t>
  </si>
  <si>
    <t>calenberg</t>
  </si>
  <si>
    <t>Optimalizace - Syner - Víceúčelová budova Úvalská - 4.5.2026</t>
  </si>
  <si>
    <t>výkres kladečáku na balkony</t>
  </si>
  <si>
    <t>Řiťka</t>
  </si>
  <si>
    <t>BD Nový Zeleneč</t>
  </si>
  <si>
    <t>Za Univerzitou</t>
  </si>
  <si>
    <t>Podklady - Nový Zeleneč</t>
  </si>
  <si>
    <t>BD Libeň</t>
  </si>
  <si>
    <t>není návrh isokorbu - pouze na jeden jednoduchý balkon</t>
  </si>
  <si>
    <t>Za Univerzitou B - Moucha</t>
  </si>
  <si>
    <t>Billa Kladno</t>
  </si>
  <si>
    <t>AFI City</t>
  </si>
  <si>
    <t>Vila Garden</t>
  </si>
  <si>
    <t>BD Kbely</t>
  </si>
  <si>
    <t>RO Tuklatská</t>
  </si>
  <si>
    <t>FN Brno</t>
  </si>
  <si>
    <t>spojky Lenton</t>
  </si>
  <si>
    <t>Petynka</t>
  </si>
  <si>
    <t>ZŠ Úvaly</t>
  </si>
  <si>
    <t>Návrh izolačních nosníků - GRITON - Petynka</t>
  </si>
  <si>
    <t>zadáno Voplakal</t>
  </si>
  <si>
    <t>čekáme na izo + cena ABS</t>
  </si>
  <si>
    <t>Rezidence Ohradní</t>
  </si>
  <si>
    <t>BD Olomouc objekt B</t>
  </si>
  <si>
    <t>Vila Roque</t>
  </si>
  <si>
    <t>ČOV Kbely</t>
  </si>
  <si>
    <t>Domov seniorů Jesenice u Prahy</t>
  </si>
  <si>
    <t>Office Hybernská</t>
  </si>
  <si>
    <t>pretec</t>
  </si>
  <si>
    <t>Šemíkův Břeh</t>
  </si>
  <si>
    <t>JGB</t>
  </si>
  <si>
    <t>kolejnice</t>
  </si>
  <si>
    <t>Pardubice</t>
  </si>
  <si>
    <t>Hůry</t>
  </si>
  <si>
    <t>čekáme na JDA</t>
  </si>
  <si>
    <t>Gardenline s.r.o.</t>
  </si>
  <si>
    <t>BD Březinova</t>
  </si>
  <si>
    <t>Bohutín</t>
  </si>
  <si>
    <t>poptány šroubové spojky</t>
  </si>
  <si>
    <t>Garáže ND Smíchov</t>
  </si>
  <si>
    <t>Káraný</t>
  </si>
  <si>
    <t>Kalové pole</t>
  </si>
  <si>
    <t>Mateřská Školka AERO</t>
  </si>
  <si>
    <t>monotub</t>
  </si>
  <si>
    <t>Dům Vršovice</t>
  </si>
  <si>
    <t>Nosníky OCEL-BETON - Dům Vršovice - izolační nosníky - 21.5.2026</t>
  </si>
  <si>
    <t>BD Zenklova</t>
  </si>
  <si>
    <t>Čech a syn</t>
  </si>
  <si>
    <t>připravit CN na prostupy</t>
  </si>
  <si>
    <t>Zahušťovací Nádrže</t>
  </si>
  <si>
    <t>BD Vítězná</t>
  </si>
  <si>
    <t>BD Vídeňská</t>
  </si>
  <si>
    <t>izo nosníky?</t>
  </si>
  <si>
    <t xml:space="preserve">Vlepení výztuže - FW: Foto Ruzyně </t>
  </si>
  <si>
    <t>ZŠ Písnice</t>
  </si>
  <si>
    <t>Dolní Břežany</t>
  </si>
  <si>
    <t>VIRTA Kladno</t>
  </si>
  <si>
    <t>nemocnice Vrchlabí</t>
  </si>
  <si>
    <t>BD Kolovraty</t>
  </si>
  <si>
    <t>zpracuje si Milan sám</t>
  </si>
  <si>
    <t>Dilatace V2 - upravit cenu montáže</t>
  </si>
  <si>
    <t>vibroška - výtahovky</t>
  </si>
  <si>
    <t>Novostavba ŽST Praha</t>
  </si>
  <si>
    <t>BD U Zvonu</t>
  </si>
  <si>
    <t>zadat Voplakal</t>
  </si>
  <si>
    <t>PD Na Knížecí</t>
  </si>
  <si>
    <t>pohlídat</t>
  </si>
  <si>
    <t>Luštěnice</t>
  </si>
  <si>
    <t>City Blok Kleinerova</t>
  </si>
  <si>
    <t>Kostel Neratovice</t>
  </si>
  <si>
    <t>BD Vaníčkova</t>
  </si>
  <si>
    <t>Návrh izolačních nosníků - Hinton - Pitkovický Dvůr</t>
  </si>
  <si>
    <t>Břeclav</t>
  </si>
  <si>
    <t>Penzion Pastviny Bedřichov</t>
  </si>
  <si>
    <t>BIDFOOD Kralupy</t>
  </si>
  <si>
    <t>aktualizace 31/5</t>
  </si>
  <si>
    <t>upřesnění 31/5</t>
  </si>
  <si>
    <t>Rezidence Koruna</t>
  </si>
  <si>
    <t xml:space="preserve">x </t>
  </si>
  <si>
    <t>poslat na Honzu</t>
  </si>
  <si>
    <t>Ostrava</t>
  </si>
  <si>
    <t>Rohan-Karlín</t>
  </si>
  <si>
    <t>Pitkovice</t>
  </si>
  <si>
    <t>přepravní kotvy</t>
  </si>
  <si>
    <t>Škola Da Vinci</t>
  </si>
  <si>
    <t>Sweetwater</t>
  </si>
  <si>
    <t>poslat Voplakalovi</t>
  </si>
  <si>
    <t>protipožární manžety</t>
  </si>
  <si>
    <t>SIKASIL 670 Fire</t>
  </si>
  <si>
    <t>udělat kladečáky</t>
  </si>
  <si>
    <t>galerie Pardubice</t>
  </si>
  <si>
    <t>RD Velká Skála</t>
  </si>
  <si>
    <t>BD Na Rovinách</t>
  </si>
  <si>
    <t>RD Předměřice nad Labem</t>
  </si>
  <si>
    <t>doplnit Mastertec</t>
  </si>
  <si>
    <t>Kolben Park Objekt B</t>
  </si>
  <si>
    <t>bílá vana shodná, zbytek bez návrhu, možná schodiště?</t>
  </si>
  <si>
    <t>SO Zámečerk Jenerálka</t>
  </si>
  <si>
    <t>Rezidence Lochkov II</t>
  </si>
  <si>
    <t>SUPŠ Karlovy Vary</t>
  </si>
  <si>
    <t>Sylodyn</t>
  </si>
  <si>
    <t>Gardenline - BD Březinova - XYPEX</t>
  </si>
  <si>
    <t>Návrh izolačních nosníků - MAVI - BD U Zvonu</t>
  </si>
  <si>
    <t>objednat stěny 4.NP na začátek července, strop 14 dní po</t>
  </si>
  <si>
    <t>zajímavé</t>
  </si>
  <si>
    <t>SO Zámeček Jenerálka</t>
  </si>
  <si>
    <t>Bettra</t>
  </si>
  <si>
    <t>BD Boleslavova</t>
  </si>
  <si>
    <t>Dolní Rokytná</t>
  </si>
  <si>
    <t>BD Zahrádky Branišovská</t>
  </si>
  <si>
    <t>Kolben Park etapa III - Objekt B</t>
  </si>
  <si>
    <t>DoriJana</t>
  </si>
  <si>
    <t>nátěry Sika</t>
  </si>
  <si>
    <t>nátěr</t>
  </si>
  <si>
    <t>9/6 urgováno</t>
  </si>
  <si>
    <t>Kampus Albertov</t>
  </si>
  <si>
    <t>Orlík-Panstvíčko</t>
  </si>
  <si>
    <t>znovu poptáno</t>
  </si>
  <si>
    <t>poptány vzorky znovu</t>
  </si>
  <si>
    <t>RD Zbuzany</t>
  </si>
  <si>
    <t>OS Kolovraty</t>
  </si>
  <si>
    <t>smykové trny 500</t>
  </si>
  <si>
    <t>Lift-box</t>
  </si>
  <si>
    <t>Ecocity Malešice</t>
  </si>
  <si>
    <t>BADITECH s.r.o.</t>
  </si>
  <si>
    <t>BD Výhledová</t>
  </si>
  <si>
    <t>9ks ocel-beton celkem</t>
  </si>
  <si>
    <t>viz Casta</t>
  </si>
  <si>
    <t>Vila Osnice</t>
  </si>
  <si>
    <t>PD Narex Moskevská</t>
  </si>
  <si>
    <t>Hala M, parkovací dům</t>
  </si>
  <si>
    <t>Multifunkční zařízení s ubytováním</t>
  </si>
  <si>
    <t>zřejmě Jenerálka - HYDRAX</t>
  </si>
  <si>
    <t>BD Mírová</t>
  </si>
  <si>
    <t>BD Křimice</t>
  </si>
  <si>
    <t>Lidl Říčany</t>
  </si>
  <si>
    <t>BD Na Primoně</t>
  </si>
  <si>
    <t>OS Nad Čimickým Údolím</t>
  </si>
  <si>
    <t>přejezdový profil</t>
  </si>
  <si>
    <t>Isolet</t>
  </si>
  <si>
    <t>Safety Bloc</t>
  </si>
  <si>
    <t>Trafostanice Bratislavská</t>
  </si>
  <si>
    <t>Hala M, kotelna</t>
  </si>
  <si>
    <t>Strnadovy zahrady</t>
  </si>
  <si>
    <t>zkusit Mastertec</t>
  </si>
  <si>
    <t>nemáme pořádné podklady</t>
  </si>
  <si>
    <t>Sconnex</t>
  </si>
  <si>
    <t>BD Plzeň</t>
  </si>
  <si>
    <t>FW: ISOKORBY BD Plzeň</t>
  </si>
  <si>
    <t>Hasičárna Písek Chlumec nad Cidlinou</t>
  </si>
  <si>
    <t>Stavby-Eda s.r.o.</t>
  </si>
  <si>
    <t>80 nebo 120?</t>
  </si>
  <si>
    <t>udělat kladečák</t>
  </si>
  <si>
    <t>Horní stanice Hromovka 2</t>
  </si>
  <si>
    <t>Dolní stanice Hromovka 2</t>
  </si>
  <si>
    <t xml:space="preserve">Modernizace Nemocnice Frýdlant </t>
  </si>
  <si>
    <t>sylomer viz PP53 - Billa Kladno</t>
  </si>
  <si>
    <t>CN Office Park</t>
  </si>
  <si>
    <t>Návrh izolačních nosníků - BBP - BD Křimice</t>
  </si>
  <si>
    <t>vlastní návrh</t>
  </si>
  <si>
    <t>Návrh izolačních nosníků - PEVE - BD Starochodovská</t>
  </si>
  <si>
    <t>dilatace opěrka</t>
  </si>
  <si>
    <t>Trafostanice Skvrňany</t>
  </si>
  <si>
    <t>doplnit do nabídky</t>
  </si>
  <si>
    <t>3 podlaží najednou, kolik palet? 3. srpen dál</t>
  </si>
  <si>
    <t>Chata Krásná</t>
  </si>
  <si>
    <t>zadáno MIVO</t>
  </si>
  <si>
    <t>dořešit kosti!</t>
  </si>
  <si>
    <t>Palác Hybernia</t>
  </si>
  <si>
    <t>Linecká čtvrť - České Budějovice</t>
  </si>
  <si>
    <t>Honza si udělal sám</t>
  </si>
  <si>
    <t>přeposílalo MAVI</t>
  </si>
  <si>
    <t>Nová Linecká čtvrť - České Budějovice</t>
  </si>
  <si>
    <t>PSA Řeporyje (Mercedes)</t>
  </si>
  <si>
    <t>Bydlení META Modřany</t>
  </si>
  <si>
    <t>NEUMÍ</t>
  </si>
  <si>
    <t>Branišovská</t>
  </si>
  <si>
    <t>Nedvězí u Olomouce</t>
  </si>
  <si>
    <t>udělat kladečák 6.NP-14.NP</t>
  </si>
  <si>
    <t>PD Mukařov</t>
  </si>
  <si>
    <t>Drechsler</t>
  </si>
  <si>
    <t>PPO Karlín</t>
  </si>
  <si>
    <t>volat v pondělí 20/7</t>
  </si>
  <si>
    <t>Dělnický dům PEKLO</t>
  </si>
  <si>
    <t>AD Otakarova</t>
  </si>
  <si>
    <t>Formtex</t>
  </si>
  <si>
    <t>AH Votice</t>
  </si>
  <si>
    <t>OS Kunratice u Liberece</t>
  </si>
  <si>
    <t>Rohan City Block B2</t>
  </si>
  <si>
    <t>BD Rezidence Máchovo jezero</t>
  </si>
  <si>
    <t>Jistebník</t>
  </si>
  <si>
    <t>Nová Waltrovka obj. G1-G7</t>
  </si>
  <si>
    <t>Beroun Pískovna II</t>
  </si>
  <si>
    <t>BD Mlazická</t>
  </si>
  <si>
    <t>BD Ruprechtická</t>
  </si>
  <si>
    <t>Pavilon pro matku a dítě</t>
  </si>
  <si>
    <t>Nemocnice Mladá Boleslav</t>
  </si>
  <si>
    <t>dtto ARDEM</t>
  </si>
  <si>
    <t>SANAX</t>
  </si>
  <si>
    <t>vypadá to na vibrošku</t>
  </si>
  <si>
    <t>viz mail 23/7</t>
  </si>
  <si>
    <t>Polymet</t>
  </si>
  <si>
    <t>Návrh izolačních nosníků - FERI - Nový Rohan sekce A Blok B2</t>
  </si>
  <si>
    <t>Ostravice "pila"</t>
  </si>
  <si>
    <t>RD Chrastava</t>
  </si>
  <si>
    <t>Skramuský Radek</t>
  </si>
  <si>
    <t>FORMET</t>
  </si>
  <si>
    <t>BD Vršovice</t>
  </si>
  <si>
    <t>Kunex, viz mail 23/7 - vyřeší si Milan</t>
  </si>
  <si>
    <t>zadat PEIKKO</t>
  </si>
  <si>
    <t>rovnou objednat</t>
  </si>
  <si>
    <t>Rezidence Lipno přístav</t>
  </si>
  <si>
    <t>BD Kročehlavy</t>
  </si>
  <si>
    <t>Chirana</t>
  </si>
  <si>
    <t>dořeší Honza</t>
  </si>
  <si>
    <t>Sociální bydlení Na Žižkově, Liberec</t>
  </si>
  <si>
    <t>přidat pažnici 400/350</t>
  </si>
  <si>
    <t>P+R DEPO Hostivař</t>
  </si>
  <si>
    <t>Návrh izolačních nosníků - HINTON - Meander Kbely</t>
  </si>
  <si>
    <t>CN Rezidence Balabenka</t>
  </si>
  <si>
    <t>Čimice</t>
  </si>
  <si>
    <t>čekáme na aktualizaci smykovky</t>
  </si>
  <si>
    <t>MERCEDES - BENZ TRUCKS</t>
  </si>
  <si>
    <t>HRABÁNEK s.r.o.</t>
  </si>
  <si>
    <t xml:space="preserve">kluzné trny </t>
  </si>
  <si>
    <t>Sikaflex Construction+</t>
  </si>
  <si>
    <t>tmely</t>
  </si>
  <si>
    <t>Za Valem D1,D2,D3, I</t>
  </si>
  <si>
    <t>přepravní úchyty</t>
  </si>
  <si>
    <t>Kladno BD A6</t>
  </si>
  <si>
    <t>BD Prodloužená</t>
  </si>
  <si>
    <t>ZŠ Vodňanského</t>
  </si>
  <si>
    <t>Senovážné náměstí</t>
  </si>
  <si>
    <t>Rezidence Balabenka</t>
  </si>
  <si>
    <t>Návrh izolačních nosníků - PORR - BD Zelený Kamýk</t>
  </si>
  <si>
    <t>BD Hartigova</t>
  </si>
  <si>
    <t>lift boxy</t>
  </si>
  <si>
    <t>Park Living Holešovice</t>
  </si>
  <si>
    <t>Ladronka Park</t>
  </si>
  <si>
    <t>Mukařov</t>
  </si>
  <si>
    <t>BD Šumavská</t>
  </si>
  <si>
    <t>dilatační pás - zjistit od Milana, s kým řešil v SICE</t>
  </si>
  <si>
    <t>RD Kolovraty</t>
  </si>
  <si>
    <t>cena dsl42</t>
  </si>
  <si>
    <t>BD Labuťka</t>
  </si>
  <si>
    <t>BD Boettingerova</t>
  </si>
  <si>
    <t>poslat certifikáty, technické listy apod</t>
  </si>
  <si>
    <t>Ekorezidence Smíchov</t>
  </si>
  <si>
    <t>dořešit s Dubeckým</t>
  </si>
  <si>
    <t>dořešit nabídku Gmyse</t>
  </si>
  <si>
    <t>BD Košinka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</si>
</sst>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1"/>
      <name val="Calibri"/>
      <family val="2"/>
      <charset val="238"/>
    </font>
    <font>
      <sz val="9"/>
      <color rgb="FF00000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14" fontId="0" fillId="3" borderId="0" xfId="0" applyNumberFormat="1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2" fillId="0" borderId="0" xfId="0" applyFont="1" applyAlignment="1">
      <alignment horizontal="left"/>
    </xf>
    <xf numFmtId="0" fontId="3" fillId="4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</cellXfs>
  <cellStyles count="1">
    <cellStyle name="Normální" xfId="0" builtinId="0"/>
  </cellStyles>
  <dxfs count="12"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0DA5B-9B1D-4C4D-A762-050158A60533}">
  <sheetPr codeName="List1"/>
  <dimension ref="A1:O464"/>
  <sheetViews>
    <sheetView workbookViewId="0">
      <selection activeCell="D6" sqref="D6"/>
    </sheetView>
  </sheetViews>
  <sheetFormatPr defaultRowHeight="15"/>
  <cols>
    <col min="1" max="1" width="10.140625" style="11" bestFit="1" customWidth="1"/>
    <col min="2" max="2" width="10.42578125" style="11" bestFit="1" customWidth="1"/>
    <col min="3" max="3" width="10.140625" style="11" customWidth="1"/>
    <col min="4" max="4" width="14" bestFit="1" customWidth="1"/>
    <col min="5" max="5" width="34" bestFit="1" customWidth="1"/>
    <col min="6" max="6" width="30.140625" bestFit="1" customWidth="1"/>
    <col min="7" max="7" width="5.140625" style="3" customWidth="1"/>
    <col min="8" max="8" width="6.28515625" style="3" bestFit="1" customWidth="1"/>
    <col min="9" max="9" width="3.42578125" style="3" bestFit="1" customWidth="1"/>
    <col min="10" max="10" width="5.28515625" style="3" bestFit="1" customWidth="1"/>
    <col min="11" max="11" width="6.28515625" style="3" bestFit="1" customWidth="1"/>
    <col min="12" max="12" width="5.7109375" style="3" bestFit="1" customWidth="1"/>
    <col min="13" max="13" width="4.42578125" style="3" bestFit="1" customWidth="1"/>
    <col min="14" max="14" width="53.85546875" customWidth="1"/>
    <col min="15" max="15" width="19.5703125" customWidth="1"/>
  </cols>
  <sheetData>
    <row r="1" spans="1:15" s="7" customFormat="1" ht="30">
      <c r="A1" s="10" t="s">
        <v>880</v>
      </c>
      <c r="B1" s="10" t="s">
        <v>872</v>
      </c>
      <c r="C1" s="10" t="s">
        <v>873</v>
      </c>
      <c r="D1" s="8"/>
      <c r="E1" s="7" t="s">
        <v>11</v>
      </c>
      <c r="F1" s="7" t="s">
        <v>867</v>
      </c>
      <c r="G1" s="9" t="s">
        <v>51</v>
      </c>
      <c r="H1" s="10" t="s">
        <v>874</v>
      </c>
      <c r="I1" s="10" t="s">
        <v>875</v>
      </c>
      <c r="J1" s="10" t="s">
        <v>879</v>
      </c>
      <c r="K1" s="10" t="s">
        <v>876</v>
      </c>
      <c r="L1" s="10" t="s">
        <v>877</v>
      </c>
      <c r="M1" s="10" t="s">
        <v>878</v>
      </c>
      <c r="N1" s="7" t="s">
        <v>10</v>
      </c>
      <c r="O1" s="7" t="s">
        <v>31</v>
      </c>
    </row>
    <row r="3" spans="1:15">
      <c r="A3" s="11">
        <v>46255</v>
      </c>
      <c r="B3" s="11" t="s">
        <v>882</v>
      </c>
      <c r="D3" t="s">
        <v>2</v>
      </c>
      <c r="E3" t="s">
        <v>19</v>
      </c>
      <c r="F3" t="s">
        <v>812</v>
      </c>
      <c r="N3" t="s">
        <v>1430</v>
      </c>
    </row>
    <row r="4" spans="1:15">
      <c r="A4" s="11">
        <v>46255</v>
      </c>
      <c r="B4" s="11" t="s">
        <v>882</v>
      </c>
      <c r="D4" t="s">
        <v>0</v>
      </c>
      <c r="E4" t="s">
        <v>1428</v>
      </c>
      <c r="F4" t="s">
        <v>577</v>
      </c>
      <c r="I4" s="3" t="s">
        <v>5</v>
      </c>
      <c r="N4" t="s">
        <v>1429</v>
      </c>
    </row>
    <row r="5" spans="1:15">
      <c r="A5" s="11">
        <v>46255</v>
      </c>
      <c r="B5" s="11" t="s">
        <v>882</v>
      </c>
      <c r="D5" t="s">
        <v>0</v>
      </c>
      <c r="E5" t="s">
        <v>1431</v>
      </c>
      <c r="F5" t="s">
        <v>577</v>
      </c>
    </row>
    <row r="6" spans="1:15">
      <c r="A6" s="11">
        <v>46254</v>
      </c>
      <c r="B6" s="11" t="s">
        <v>882</v>
      </c>
      <c r="D6" t="s">
        <v>2</v>
      </c>
      <c r="E6" t="s">
        <v>926</v>
      </c>
      <c r="F6" t="s">
        <v>811</v>
      </c>
    </row>
    <row r="7" spans="1:15">
      <c r="A7" s="11">
        <v>46254</v>
      </c>
      <c r="B7" s="11" t="s">
        <v>882</v>
      </c>
      <c r="D7" t="s">
        <v>2</v>
      </c>
      <c r="E7" t="s">
        <v>1426</v>
      </c>
      <c r="F7" t="s">
        <v>475</v>
      </c>
      <c r="N7" t="s">
        <v>1427</v>
      </c>
    </row>
    <row r="8" spans="1:15">
      <c r="A8" s="11">
        <v>46254</v>
      </c>
      <c r="B8" s="11" t="s">
        <v>871</v>
      </c>
      <c r="D8" t="s">
        <v>2</v>
      </c>
      <c r="E8" t="s">
        <v>1425</v>
      </c>
      <c r="F8" t="s">
        <v>839</v>
      </c>
    </row>
    <row r="9" spans="1:15">
      <c r="A9" s="11">
        <v>46253</v>
      </c>
      <c r="B9" s="11" t="s">
        <v>871</v>
      </c>
      <c r="D9" t="s">
        <v>2</v>
      </c>
      <c r="E9" t="s">
        <v>1357</v>
      </c>
      <c r="F9" t="s">
        <v>821</v>
      </c>
      <c r="N9" t="s">
        <v>1424</v>
      </c>
    </row>
    <row r="10" spans="1:15">
      <c r="A10" s="11">
        <v>46253</v>
      </c>
      <c r="B10" s="11" t="s">
        <v>882</v>
      </c>
      <c r="D10" t="s">
        <v>0</v>
      </c>
      <c r="E10" t="s">
        <v>1421</v>
      </c>
      <c r="F10" t="s">
        <v>138</v>
      </c>
    </row>
    <row r="11" spans="1:15">
      <c r="A11" s="11">
        <v>46253</v>
      </c>
      <c r="B11" s="11" t="s">
        <v>871</v>
      </c>
      <c r="D11" t="s">
        <v>2</v>
      </c>
      <c r="E11" t="s">
        <v>1423</v>
      </c>
      <c r="F11" t="s">
        <v>596</v>
      </c>
    </row>
    <row r="12" spans="1:15">
      <c r="A12" s="11">
        <v>46252</v>
      </c>
      <c r="B12" s="11" t="s">
        <v>882</v>
      </c>
      <c r="C12" s="11">
        <v>46255</v>
      </c>
      <c r="D12" t="s">
        <v>2</v>
      </c>
      <c r="E12" t="s">
        <v>1420</v>
      </c>
      <c r="F12" t="s">
        <v>97</v>
      </c>
    </row>
    <row r="13" spans="1:15">
      <c r="A13" s="11">
        <v>46251</v>
      </c>
      <c r="B13" s="11" t="s">
        <v>882</v>
      </c>
      <c r="D13" t="s">
        <v>8</v>
      </c>
      <c r="E13" t="s">
        <v>1418</v>
      </c>
      <c r="F13" t="s">
        <v>572</v>
      </c>
    </row>
    <row r="14" spans="1:15">
      <c r="A14" s="11">
        <v>46251</v>
      </c>
      <c r="B14" s="11" t="s">
        <v>871</v>
      </c>
      <c r="C14" s="11">
        <v>46253</v>
      </c>
      <c r="D14" t="s">
        <v>2</v>
      </c>
      <c r="E14" t="s">
        <v>1419</v>
      </c>
      <c r="F14" t="s">
        <v>97</v>
      </c>
    </row>
    <row r="15" spans="1:15">
      <c r="A15" s="11">
        <v>46251</v>
      </c>
      <c r="B15" s="11" t="s">
        <v>882</v>
      </c>
      <c r="D15" t="s">
        <v>2</v>
      </c>
      <c r="E15" t="s">
        <v>1265</v>
      </c>
      <c r="F15" t="s">
        <v>452</v>
      </c>
    </row>
    <row r="16" spans="1:15">
      <c r="A16" s="11">
        <v>46251</v>
      </c>
      <c r="B16" s="11" t="s">
        <v>871</v>
      </c>
      <c r="D16" t="s">
        <v>8</v>
      </c>
      <c r="E16" t="s">
        <v>1416</v>
      </c>
      <c r="F16" t="s">
        <v>572</v>
      </c>
      <c r="I16" s="3" t="s">
        <v>5</v>
      </c>
    </row>
    <row r="17" spans="1:14">
      <c r="A17" s="11">
        <v>46251</v>
      </c>
      <c r="B17" s="11" t="s">
        <v>871</v>
      </c>
      <c r="D17" t="s">
        <v>0</v>
      </c>
      <c r="E17" t="s">
        <v>28</v>
      </c>
      <c r="F17" t="s">
        <v>578</v>
      </c>
      <c r="N17" t="s">
        <v>1417</v>
      </c>
    </row>
    <row r="18" spans="1:14">
      <c r="A18" s="11">
        <v>46248</v>
      </c>
      <c r="B18" s="11" t="s">
        <v>871</v>
      </c>
      <c r="D18" t="s">
        <v>0</v>
      </c>
      <c r="E18" t="s">
        <v>54</v>
      </c>
      <c r="F18" t="s">
        <v>484</v>
      </c>
      <c r="N18" t="s">
        <v>58</v>
      </c>
    </row>
    <row r="19" spans="1:14">
      <c r="A19" s="11">
        <v>46247</v>
      </c>
      <c r="B19" s="11" t="s">
        <v>882</v>
      </c>
      <c r="C19" s="11">
        <v>46248</v>
      </c>
      <c r="D19" t="s">
        <v>2</v>
      </c>
      <c r="E19" t="s">
        <v>1414</v>
      </c>
      <c r="F19" t="s">
        <v>97</v>
      </c>
      <c r="M19" s="3" t="s">
        <v>5</v>
      </c>
    </row>
    <row r="20" spans="1:14">
      <c r="A20" s="11">
        <v>46247</v>
      </c>
      <c r="B20" s="11" t="s">
        <v>871</v>
      </c>
      <c r="D20" t="s">
        <v>8</v>
      </c>
      <c r="E20" t="s">
        <v>1413</v>
      </c>
      <c r="F20" t="s">
        <v>130</v>
      </c>
      <c r="I20" s="3" t="s">
        <v>5</v>
      </c>
    </row>
    <row r="21" spans="1:14">
      <c r="A21" s="11">
        <v>46247</v>
      </c>
      <c r="B21" s="11" t="s">
        <v>871</v>
      </c>
      <c r="C21" s="11">
        <v>46251</v>
      </c>
      <c r="D21" t="s">
        <v>2</v>
      </c>
      <c r="E21" t="s">
        <v>1412</v>
      </c>
      <c r="F21" t="s">
        <v>97</v>
      </c>
    </row>
    <row r="22" spans="1:14">
      <c r="A22" s="11">
        <v>46247</v>
      </c>
      <c r="B22" s="11" t="s">
        <v>871</v>
      </c>
      <c r="D22" t="s">
        <v>2</v>
      </c>
      <c r="E22" t="s">
        <v>1030</v>
      </c>
      <c r="F22" t="s">
        <v>747</v>
      </c>
      <c r="H22" s="3" t="s">
        <v>5</v>
      </c>
    </row>
    <row r="23" spans="1:14">
      <c r="A23" s="11">
        <v>46247</v>
      </c>
      <c r="B23" s="11" t="s">
        <v>882</v>
      </c>
      <c r="D23" t="s">
        <v>2</v>
      </c>
      <c r="E23" t="s">
        <v>1362</v>
      </c>
      <c r="F23" t="s">
        <v>682</v>
      </c>
      <c r="N23" t="s">
        <v>1422</v>
      </c>
    </row>
    <row r="24" spans="1:14">
      <c r="A24" s="11">
        <v>46246</v>
      </c>
      <c r="B24" s="11" t="s">
        <v>871</v>
      </c>
      <c r="D24" t="s">
        <v>2</v>
      </c>
      <c r="E24" t="s">
        <v>1411</v>
      </c>
      <c r="F24" t="s">
        <v>596</v>
      </c>
    </row>
    <row r="25" spans="1:14">
      <c r="A25" s="11">
        <v>46246</v>
      </c>
      <c r="B25" s="11" t="s">
        <v>871</v>
      </c>
      <c r="D25" t="s">
        <v>2</v>
      </c>
      <c r="E25" t="s">
        <v>61</v>
      </c>
      <c r="F25" t="s">
        <v>620</v>
      </c>
      <c r="L25" s="3" t="s">
        <v>5</v>
      </c>
    </row>
    <row r="26" spans="1:14">
      <c r="A26" s="11">
        <v>46246</v>
      </c>
      <c r="B26" s="11" t="s">
        <v>871</v>
      </c>
      <c r="D26" t="s">
        <v>2</v>
      </c>
      <c r="E26" t="s">
        <v>1410</v>
      </c>
      <c r="F26" t="s">
        <v>678</v>
      </c>
    </row>
    <row r="27" spans="1:14">
      <c r="A27" s="11">
        <v>46245</v>
      </c>
      <c r="B27" s="11" t="s">
        <v>871</v>
      </c>
      <c r="D27" t="s">
        <v>2</v>
      </c>
      <c r="E27" t="s">
        <v>926</v>
      </c>
      <c r="F27" t="s">
        <v>714</v>
      </c>
      <c r="N27" t="s">
        <v>1409</v>
      </c>
    </row>
    <row r="28" spans="1:14">
      <c r="A28" s="11">
        <v>46244</v>
      </c>
      <c r="B28" s="11" t="s">
        <v>871</v>
      </c>
      <c r="D28" t="s">
        <v>0</v>
      </c>
      <c r="E28" t="s">
        <v>65</v>
      </c>
      <c r="F28" t="s">
        <v>760</v>
      </c>
      <c r="K28" s="3" t="s">
        <v>5</v>
      </c>
    </row>
    <row r="29" spans="1:14">
      <c r="A29" s="11">
        <v>46241</v>
      </c>
      <c r="B29" s="11" t="s">
        <v>871</v>
      </c>
      <c r="D29" t="s">
        <v>2</v>
      </c>
      <c r="E29" t="s">
        <v>1185</v>
      </c>
      <c r="F29" t="s">
        <v>97</v>
      </c>
    </row>
    <row r="30" spans="1:14">
      <c r="A30" s="11">
        <v>46241</v>
      </c>
      <c r="B30" s="11" t="s">
        <v>871</v>
      </c>
      <c r="D30" t="s">
        <v>2</v>
      </c>
      <c r="E30" t="s">
        <v>926</v>
      </c>
      <c r="F30" t="s">
        <v>475</v>
      </c>
      <c r="N30" t="s">
        <v>1407</v>
      </c>
    </row>
    <row r="31" spans="1:14">
      <c r="A31" s="11">
        <v>46240</v>
      </c>
      <c r="B31" s="11" t="s">
        <v>871</v>
      </c>
      <c r="D31" t="s">
        <v>2</v>
      </c>
      <c r="E31" t="s">
        <v>1403</v>
      </c>
      <c r="F31" t="s">
        <v>1404</v>
      </c>
      <c r="N31" t="s">
        <v>1405</v>
      </c>
    </row>
    <row r="32" spans="1:14">
      <c r="A32" s="11">
        <v>46239</v>
      </c>
      <c r="B32" s="11" t="s">
        <v>871</v>
      </c>
      <c r="D32" t="s">
        <v>0</v>
      </c>
      <c r="E32" t="s">
        <v>1179</v>
      </c>
      <c r="F32" t="s">
        <v>578</v>
      </c>
    </row>
    <row r="33" spans="1:14">
      <c r="A33" s="11">
        <v>46239</v>
      </c>
      <c r="B33" s="11" t="s">
        <v>871</v>
      </c>
      <c r="D33" t="s">
        <v>2</v>
      </c>
      <c r="E33" t="s">
        <v>1044</v>
      </c>
      <c r="F33" t="s">
        <v>557</v>
      </c>
      <c r="N33" t="s">
        <v>1402</v>
      </c>
    </row>
    <row r="34" spans="1:14">
      <c r="A34" s="11">
        <v>46239</v>
      </c>
      <c r="B34" s="11" t="s">
        <v>871</v>
      </c>
      <c r="D34" t="s">
        <v>8</v>
      </c>
      <c r="E34" t="s">
        <v>1401</v>
      </c>
      <c r="F34" t="s">
        <v>572</v>
      </c>
    </row>
    <row r="35" spans="1:14">
      <c r="A35" s="11">
        <v>46238</v>
      </c>
      <c r="B35" s="11" t="s">
        <v>871</v>
      </c>
      <c r="D35" t="s">
        <v>2</v>
      </c>
      <c r="E35" t="s">
        <v>1400</v>
      </c>
      <c r="F35" t="s">
        <v>97</v>
      </c>
    </row>
    <row r="36" spans="1:14">
      <c r="A36" s="11">
        <v>46238</v>
      </c>
      <c r="B36" s="11" t="s">
        <v>871</v>
      </c>
      <c r="D36" t="s">
        <v>2</v>
      </c>
      <c r="E36" t="s">
        <v>1266</v>
      </c>
      <c r="F36" t="s">
        <v>758</v>
      </c>
      <c r="L36" s="3" t="s">
        <v>5</v>
      </c>
    </row>
    <row r="37" spans="1:14">
      <c r="A37" s="11">
        <v>46233</v>
      </c>
      <c r="B37" s="11" t="s">
        <v>871</v>
      </c>
      <c r="C37" s="11">
        <v>46234</v>
      </c>
      <c r="D37" t="s">
        <v>2</v>
      </c>
      <c r="E37" t="s">
        <v>1398</v>
      </c>
      <c r="F37" t="s">
        <v>747</v>
      </c>
    </row>
    <row r="38" spans="1:14">
      <c r="A38" s="11">
        <v>46232</v>
      </c>
      <c r="B38" s="11" t="s">
        <v>871</v>
      </c>
      <c r="D38" t="s">
        <v>2</v>
      </c>
      <c r="E38" t="s">
        <v>1217</v>
      </c>
      <c r="F38" t="s">
        <v>1216</v>
      </c>
      <c r="I38" s="3" t="s">
        <v>5</v>
      </c>
      <c r="L38" s="3" t="s">
        <v>5</v>
      </c>
    </row>
    <row r="39" spans="1:14">
      <c r="A39" s="11">
        <v>46232</v>
      </c>
      <c r="B39" s="11" t="s">
        <v>882</v>
      </c>
      <c r="D39" t="s">
        <v>2</v>
      </c>
      <c r="E39" t="s">
        <v>1396</v>
      </c>
      <c r="F39" t="s">
        <v>812</v>
      </c>
    </row>
    <row r="40" spans="1:14">
      <c r="A40" s="11">
        <v>46232</v>
      </c>
      <c r="B40" s="11" t="s">
        <v>881</v>
      </c>
      <c r="D40" t="s">
        <v>2</v>
      </c>
      <c r="E40" t="s">
        <v>1030</v>
      </c>
      <c r="F40" t="s">
        <v>747</v>
      </c>
      <c r="J40" s="3" t="s">
        <v>5</v>
      </c>
      <c r="N40" t="s">
        <v>1397</v>
      </c>
    </row>
    <row r="41" spans="1:14">
      <c r="A41" s="11">
        <v>46231</v>
      </c>
      <c r="B41" s="11" t="s">
        <v>871</v>
      </c>
      <c r="D41" t="s">
        <v>2</v>
      </c>
      <c r="E41" t="s">
        <v>1393</v>
      </c>
      <c r="F41" t="s">
        <v>678</v>
      </c>
      <c r="L41" s="3" t="s">
        <v>5</v>
      </c>
    </row>
    <row r="42" spans="1:14">
      <c r="A42" s="11">
        <v>46231</v>
      </c>
      <c r="B42" s="11" t="s">
        <v>881</v>
      </c>
      <c r="D42" t="s">
        <v>2</v>
      </c>
      <c r="E42" t="s">
        <v>1258</v>
      </c>
      <c r="F42" t="s">
        <v>698</v>
      </c>
      <c r="I42" s="3" t="s">
        <v>5</v>
      </c>
      <c r="N42" t="s">
        <v>1395</v>
      </c>
    </row>
    <row r="43" spans="1:14">
      <c r="A43" s="11">
        <v>46230</v>
      </c>
      <c r="B43" s="11" t="s">
        <v>871</v>
      </c>
      <c r="D43" t="s">
        <v>2</v>
      </c>
      <c r="E43" t="s">
        <v>1392</v>
      </c>
      <c r="F43" t="s">
        <v>319</v>
      </c>
    </row>
    <row r="44" spans="1:14">
      <c r="A44" s="11">
        <v>46227</v>
      </c>
      <c r="B44" s="11" t="s">
        <v>870</v>
      </c>
      <c r="D44" t="s">
        <v>2</v>
      </c>
      <c r="E44" t="s">
        <v>1133</v>
      </c>
      <c r="F44" t="s">
        <v>1134</v>
      </c>
    </row>
    <row r="45" spans="1:14">
      <c r="A45" s="11">
        <v>46227</v>
      </c>
      <c r="B45" s="11" t="s">
        <v>871</v>
      </c>
      <c r="D45" t="s">
        <v>2</v>
      </c>
      <c r="E45" t="s">
        <v>1385</v>
      </c>
      <c r="F45" t="s">
        <v>1386</v>
      </c>
      <c r="I45" s="3" t="s">
        <v>5</v>
      </c>
    </row>
    <row r="46" spans="1:14">
      <c r="A46" s="11">
        <v>46226</v>
      </c>
      <c r="B46" s="11" t="s">
        <v>871</v>
      </c>
      <c r="D46" t="s">
        <v>0</v>
      </c>
      <c r="E46" t="s">
        <v>1384</v>
      </c>
      <c r="F46" t="s">
        <v>386</v>
      </c>
    </row>
    <row r="47" spans="1:14">
      <c r="A47" s="11">
        <v>46226</v>
      </c>
      <c r="B47" s="11" t="s">
        <v>871</v>
      </c>
      <c r="D47" t="s">
        <v>2</v>
      </c>
      <c r="E47" t="s">
        <v>1328</v>
      </c>
      <c r="F47" t="s">
        <v>125</v>
      </c>
    </row>
    <row r="48" spans="1:14">
      <c r="A48" s="11">
        <v>46226</v>
      </c>
      <c r="B48" s="11" t="s">
        <v>871</v>
      </c>
      <c r="D48" t="s">
        <v>2</v>
      </c>
      <c r="E48" t="s">
        <v>926</v>
      </c>
      <c r="F48" t="s">
        <v>452</v>
      </c>
      <c r="J48" s="3" t="s">
        <v>5</v>
      </c>
      <c r="N48" t="s">
        <v>1381</v>
      </c>
    </row>
    <row r="49" spans="1:14">
      <c r="A49" s="11">
        <v>46226</v>
      </c>
      <c r="B49" s="11" t="s">
        <v>881</v>
      </c>
      <c r="D49" t="s">
        <v>2</v>
      </c>
      <c r="E49" t="s">
        <v>926</v>
      </c>
      <c r="F49" t="s">
        <v>847</v>
      </c>
      <c r="N49" t="s">
        <v>1389</v>
      </c>
    </row>
    <row r="50" spans="1:14">
      <c r="A50" s="11">
        <v>46224</v>
      </c>
      <c r="B50" s="11" t="s">
        <v>871</v>
      </c>
      <c r="C50" s="11">
        <v>46227</v>
      </c>
      <c r="D50" t="s">
        <v>2</v>
      </c>
      <c r="E50" t="s">
        <v>1377</v>
      </c>
      <c r="F50" t="s">
        <v>97</v>
      </c>
    </row>
    <row r="51" spans="1:14">
      <c r="A51" s="11">
        <v>46224</v>
      </c>
      <c r="B51" s="11" t="s">
        <v>871</v>
      </c>
      <c r="C51" s="11">
        <v>46233</v>
      </c>
      <c r="D51" t="s">
        <v>2</v>
      </c>
      <c r="E51" t="s">
        <v>1376</v>
      </c>
      <c r="F51" t="s">
        <v>747</v>
      </c>
      <c r="N51" t="s">
        <v>1378</v>
      </c>
    </row>
    <row r="52" spans="1:14">
      <c r="A52" s="11">
        <v>46224</v>
      </c>
      <c r="B52" s="11" t="s">
        <v>871</v>
      </c>
      <c r="D52" t="s">
        <v>2</v>
      </c>
      <c r="E52" t="s">
        <v>1375</v>
      </c>
      <c r="F52" t="s">
        <v>812</v>
      </c>
      <c r="M52" s="3" t="s">
        <v>5</v>
      </c>
    </row>
    <row r="53" spans="1:14">
      <c r="A53" s="11">
        <v>46224</v>
      </c>
      <c r="B53" s="11" t="s">
        <v>871</v>
      </c>
      <c r="D53" t="s">
        <v>0</v>
      </c>
      <c r="E53" t="s">
        <v>1373</v>
      </c>
      <c r="F53" t="s">
        <v>744</v>
      </c>
    </row>
    <row r="54" spans="1:14">
      <c r="A54" s="11">
        <v>46224</v>
      </c>
      <c r="B54" s="11" t="s">
        <v>871</v>
      </c>
      <c r="D54" t="s">
        <v>2</v>
      </c>
      <c r="E54" t="s">
        <v>1370</v>
      </c>
      <c r="F54" t="s">
        <v>812</v>
      </c>
    </row>
    <row r="55" spans="1:14">
      <c r="A55" s="11">
        <v>46224</v>
      </c>
      <c r="B55" s="11" t="s">
        <v>871</v>
      </c>
      <c r="C55" s="11">
        <v>46230</v>
      </c>
      <c r="D55" t="s">
        <v>2</v>
      </c>
      <c r="E55" t="s">
        <v>1372</v>
      </c>
      <c r="F55" t="s">
        <v>747</v>
      </c>
      <c r="N55" t="s">
        <v>1380</v>
      </c>
    </row>
    <row r="56" spans="1:14">
      <c r="A56" s="11">
        <v>46223</v>
      </c>
      <c r="B56" s="11" t="s">
        <v>871</v>
      </c>
      <c r="D56" t="s">
        <v>0</v>
      </c>
      <c r="E56" t="s">
        <v>1374</v>
      </c>
      <c r="F56" t="s">
        <v>577</v>
      </c>
      <c r="N56" t="s">
        <v>996</v>
      </c>
    </row>
    <row r="57" spans="1:14">
      <c r="A57" s="11">
        <v>46223</v>
      </c>
      <c r="B57" s="11" t="s">
        <v>871</v>
      </c>
      <c r="C57" s="11">
        <v>46230</v>
      </c>
      <c r="D57" t="s">
        <v>8</v>
      </c>
      <c r="E57" t="s">
        <v>1372</v>
      </c>
      <c r="F57" t="s">
        <v>572</v>
      </c>
      <c r="N57" t="s">
        <v>1380</v>
      </c>
    </row>
    <row r="58" spans="1:14">
      <c r="A58" s="11">
        <v>46223</v>
      </c>
      <c r="B58" s="11" t="s">
        <v>871</v>
      </c>
      <c r="D58" t="s">
        <v>2</v>
      </c>
      <c r="E58" t="s">
        <v>1371</v>
      </c>
      <c r="F58" t="s">
        <v>125</v>
      </c>
      <c r="I58" s="3" t="s">
        <v>5</v>
      </c>
    </row>
    <row r="59" spans="1:14">
      <c r="A59" s="11">
        <v>46223</v>
      </c>
      <c r="B59" s="11" t="s">
        <v>871</v>
      </c>
      <c r="D59" t="s">
        <v>2</v>
      </c>
      <c r="E59" t="s">
        <v>1334</v>
      </c>
      <c r="F59" t="s">
        <v>141</v>
      </c>
      <c r="K59" s="3" t="s">
        <v>5</v>
      </c>
    </row>
    <row r="60" spans="1:14">
      <c r="A60" s="11">
        <v>46223</v>
      </c>
      <c r="B60" s="11" t="s">
        <v>871</v>
      </c>
      <c r="D60" t="s">
        <v>2</v>
      </c>
      <c r="E60" t="s">
        <v>952</v>
      </c>
      <c r="F60" t="s">
        <v>747</v>
      </c>
      <c r="K60" s="3" t="s">
        <v>5</v>
      </c>
      <c r="L60" s="3" t="s">
        <v>5</v>
      </c>
    </row>
    <row r="61" spans="1:14">
      <c r="A61" s="11">
        <v>46223</v>
      </c>
      <c r="B61" s="11" t="s">
        <v>871</v>
      </c>
      <c r="D61" t="s">
        <v>8</v>
      </c>
      <c r="E61" t="s">
        <v>1214</v>
      </c>
      <c r="F61" t="s">
        <v>584</v>
      </c>
    </row>
    <row r="62" spans="1:14">
      <c r="A62" s="11">
        <v>46220</v>
      </c>
      <c r="B62" s="11" t="s">
        <v>871</v>
      </c>
      <c r="D62" t="s">
        <v>0</v>
      </c>
      <c r="E62" t="s">
        <v>1317</v>
      </c>
      <c r="F62" t="s">
        <v>499</v>
      </c>
      <c r="I62" s="3" t="s">
        <v>5</v>
      </c>
      <c r="N62" t="s">
        <v>1390</v>
      </c>
    </row>
    <row r="63" spans="1:14">
      <c r="A63" s="11">
        <v>46220</v>
      </c>
      <c r="B63" s="11" t="s">
        <v>871</v>
      </c>
      <c r="C63" s="11">
        <v>46230</v>
      </c>
      <c r="D63" t="s">
        <v>0</v>
      </c>
      <c r="E63" t="s">
        <v>1369</v>
      </c>
      <c r="F63" t="s">
        <v>269</v>
      </c>
    </row>
    <row r="64" spans="1:14">
      <c r="A64" s="11">
        <v>46220</v>
      </c>
      <c r="B64" s="11" t="s">
        <v>871</v>
      </c>
      <c r="D64" t="s">
        <v>2</v>
      </c>
      <c r="E64" t="s">
        <v>1147</v>
      </c>
      <c r="F64" t="s">
        <v>811</v>
      </c>
      <c r="H64" s="3" t="s">
        <v>5</v>
      </c>
    </row>
    <row r="65" spans="1:14">
      <c r="A65" s="11">
        <v>46220</v>
      </c>
      <c r="B65" s="11" t="s">
        <v>871</v>
      </c>
      <c r="D65" t="s">
        <v>2</v>
      </c>
      <c r="E65" t="s">
        <v>926</v>
      </c>
      <c r="F65" t="s">
        <v>125</v>
      </c>
      <c r="L65" s="3" t="s">
        <v>5</v>
      </c>
    </row>
    <row r="66" spans="1:14">
      <c r="A66" s="11">
        <v>46219</v>
      </c>
      <c r="B66" s="11" t="s">
        <v>871</v>
      </c>
      <c r="D66" t="s">
        <v>2</v>
      </c>
      <c r="E66" t="s">
        <v>1368</v>
      </c>
      <c r="F66" t="s">
        <v>760</v>
      </c>
      <c r="K66" s="3" t="s">
        <v>5</v>
      </c>
    </row>
    <row r="67" spans="1:14">
      <c r="A67" s="11">
        <v>46219</v>
      </c>
      <c r="B67" s="11" t="s">
        <v>871</v>
      </c>
      <c r="D67" t="s">
        <v>2</v>
      </c>
      <c r="E67" t="s">
        <v>1367</v>
      </c>
      <c r="F67" t="s">
        <v>97</v>
      </c>
    </row>
    <row r="68" spans="1:14">
      <c r="A68" s="11">
        <v>46219</v>
      </c>
      <c r="B68" s="11" t="s">
        <v>871</v>
      </c>
      <c r="D68" t="s">
        <v>2</v>
      </c>
      <c r="E68" t="s">
        <v>1265</v>
      </c>
      <c r="F68" t="s">
        <v>452</v>
      </c>
      <c r="J68" s="3" t="s">
        <v>5</v>
      </c>
    </row>
    <row r="69" spans="1:14">
      <c r="A69" s="11">
        <v>46219</v>
      </c>
      <c r="B69" s="11" t="s">
        <v>871</v>
      </c>
      <c r="D69" t="s">
        <v>2</v>
      </c>
      <c r="E69" t="s">
        <v>1365</v>
      </c>
      <c r="F69" t="s">
        <v>811</v>
      </c>
    </row>
    <row r="70" spans="1:14">
      <c r="A70" s="11">
        <v>46218</v>
      </c>
      <c r="B70" s="11" t="s">
        <v>871</v>
      </c>
      <c r="D70" t="s">
        <v>8</v>
      </c>
      <c r="E70" t="s">
        <v>1364</v>
      </c>
      <c r="F70" t="s">
        <v>215</v>
      </c>
      <c r="I70" s="3" t="s">
        <v>5</v>
      </c>
      <c r="J70" s="3" t="s">
        <v>5</v>
      </c>
    </row>
    <row r="71" spans="1:14">
      <c r="A71" s="11">
        <v>46218</v>
      </c>
      <c r="B71" s="11" t="s">
        <v>871</v>
      </c>
      <c r="D71" t="s">
        <v>0</v>
      </c>
      <c r="E71" t="s">
        <v>1029</v>
      </c>
      <c r="F71" t="s">
        <v>152</v>
      </c>
    </row>
    <row r="72" spans="1:14">
      <c r="A72" s="11">
        <v>46217</v>
      </c>
      <c r="B72" s="11" t="s">
        <v>871</v>
      </c>
      <c r="D72" t="s">
        <v>2</v>
      </c>
      <c r="E72" t="s">
        <v>1362</v>
      </c>
      <c r="F72" t="s">
        <v>682</v>
      </c>
    </row>
    <row r="73" spans="1:14">
      <c r="A73" s="11">
        <v>46217</v>
      </c>
      <c r="B73" s="11" t="s">
        <v>882</v>
      </c>
      <c r="D73" t="s">
        <v>0</v>
      </c>
      <c r="E73" t="s">
        <v>931</v>
      </c>
      <c r="F73" t="s">
        <v>1361</v>
      </c>
      <c r="I73" s="3" t="s">
        <v>5</v>
      </c>
      <c r="N73" t="s">
        <v>1363</v>
      </c>
    </row>
    <row r="74" spans="1:14">
      <c r="A74" s="11">
        <v>46217</v>
      </c>
      <c r="B74" s="11" t="s">
        <v>871</v>
      </c>
      <c r="D74" t="s">
        <v>0</v>
      </c>
      <c r="E74" t="s">
        <v>65</v>
      </c>
      <c r="F74" t="s">
        <v>760</v>
      </c>
      <c r="I74" s="3" t="s">
        <v>5</v>
      </c>
      <c r="N74" t="s">
        <v>996</v>
      </c>
    </row>
    <row r="75" spans="1:14">
      <c r="A75" s="11">
        <v>46217</v>
      </c>
      <c r="B75" s="11" t="s">
        <v>871</v>
      </c>
      <c r="D75" t="s">
        <v>0</v>
      </c>
      <c r="E75" t="s">
        <v>937</v>
      </c>
      <c r="F75" t="s">
        <v>577</v>
      </c>
    </row>
    <row r="76" spans="1:14">
      <c r="A76" s="11">
        <v>46217</v>
      </c>
      <c r="B76" s="11" t="s">
        <v>871</v>
      </c>
      <c r="D76" t="s">
        <v>0</v>
      </c>
      <c r="E76" t="s">
        <v>1300</v>
      </c>
      <c r="F76" t="s">
        <v>278</v>
      </c>
      <c r="I76" s="3" t="s">
        <v>5</v>
      </c>
    </row>
    <row r="77" spans="1:14">
      <c r="A77" s="11">
        <v>46217</v>
      </c>
      <c r="B77" s="11" t="s">
        <v>871</v>
      </c>
      <c r="D77" t="s">
        <v>2</v>
      </c>
      <c r="E77" t="s">
        <v>926</v>
      </c>
      <c r="F77" t="s">
        <v>125</v>
      </c>
      <c r="L77" s="3" t="s">
        <v>5</v>
      </c>
    </row>
    <row r="78" spans="1:14">
      <c r="A78" s="11">
        <v>46216</v>
      </c>
      <c r="B78" s="11" t="s">
        <v>871</v>
      </c>
      <c r="D78" t="s">
        <v>0</v>
      </c>
      <c r="E78" t="s">
        <v>1360</v>
      </c>
      <c r="F78" t="s">
        <v>98</v>
      </c>
    </row>
    <row r="79" spans="1:14">
      <c r="A79" s="11">
        <v>46214</v>
      </c>
      <c r="B79" s="11" t="s">
        <v>871</v>
      </c>
      <c r="D79" t="s">
        <v>2</v>
      </c>
      <c r="E79" t="s">
        <v>930</v>
      </c>
      <c r="F79" t="s">
        <v>475</v>
      </c>
      <c r="I79" s="3" t="s">
        <v>5</v>
      </c>
      <c r="N79" t="s">
        <v>1359</v>
      </c>
    </row>
    <row r="80" spans="1:14">
      <c r="A80" s="11">
        <v>46213</v>
      </c>
      <c r="B80" s="11" t="s">
        <v>871</v>
      </c>
      <c r="D80" t="s">
        <v>2</v>
      </c>
      <c r="E80" t="s">
        <v>1358</v>
      </c>
      <c r="F80" t="s">
        <v>811</v>
      </c>
      <c r="I80" s="3" t="s">
        <v>5</v>
      </c>
    </row>
    <row r="81" spans="1:14">
      <c r="A81" s="11">
        <v>46212</v>
      </c>
      <c r="B81" s="11" t="s">
        <v>871</v>
      </c>
      <c r="D81" t="s">
        <v>0</v>
      </c>
      <c r="E81" t="s">
        <v>1317</v>
      </c>
      <c r="F81" t="s">
        <v>499</v>
      </c>
    </row>
    <row r="82" spans="1:14">
      <c r="A82" s="11">
        <v>46212</v>
      </c>
      <c r="B82" s="11" t="s">
        <v>871</v>
      </c>
      <c r="D82" t="s">
        <v>2</v>
      </c>
      <c r="E82" t="s">
        <v>1357</v>
      </c>
      <c r="F82" t="s">
        <v>821</v>
      </c>
      <c r="L82" s="3" t="s">
        <v>5</v>
      </c>
    </row>
    <row r="83" spans="1:14">
      <c r="A83" s="11">
        <v>46211</v>
      </c>
      <c r="B83" s="11" t="s">
        <v>871</v>
      </c>
      <c r="C83" s="11">
        <v>46216</v>
      </c>
      <c r="D83" t="s">
        <v>8</v>
      </c>
      <c r="E83" t="s">
        <v>1355</v>
      </c>
      <c r="F83" t="s">
        <v>572</v>
      </c>
    </row>
    <row r="84" spans="1:14">
      <c r="A84" s="11">
        <v>46210</v>
      </c>
      <c r="B84" s="11" t="s">
        <v>871</v>
      </c>
      <c r="C84" s="11">
        <v>46213</v>
      </c>
      <c r="D84" t="s">
        <v>2</v>
      </c>
      <c r="E84" t="s">
        <v>1355</v>
      </c>
      <c r="F84" t="s">
        <v>747</v>
      </c>
    </row>
    <row r="85" spans="1:14">
      <c r="A85" s="11">
        <v>46210</v>
      </c>
      <c r="B85" s="11" t="s">
        <v>871</v>
      </c>
      <c r="C85" s="11">
        <v>46220</v>
      </c>
      <c r="D85" t="s">
        <v>2</v>
      </c>
      <c r="E85" t="s">
        <v>1354</v>
      </c>
      <c r="F85" t="s">
        <v>747</v>
      </c>
    </row>
    <row r="86" spans="1:14">
      <c r="A86" s="11">
        <v>46210</v>
      </c>
      <c r="B86" s="11" t="s">
        <v>871</v>
      </c>
      <c r="D86" t="s">
        <v>8</v>
      </c>
      <c r="E86" t="s">
        <v>1353</v>
      </c>
      <c r="F86" t="s">
        <v>484</v>
      </c>
    </row>
    <row r="87" spans="1:14">
      <c r="A87" s="11">
        <v>46210</v>
      </c>
      <c r="B87" s="11" t="s">
        <v>871</v>
      </c>
      <c r="D87" t="s">
        <v>2</v>
      </c>
      <c r="E87" t="s">
        <v>1030</v>
      </c>
      <c r="F87" t="s">
        <v>747</v>
      </c>
      <c r="K87" s="3" t="s">
        <v>5</v>
      </c>
    </row>
    <row r="88" spans="1:14">
      <c r="A88" s="11">
        <v>46206</v>
      </c>
      <c r="B88" s="11" t="s">
        <v>882</v>
      </c>
      <c r="C88" s="11">
        <v>46216</v>
      </c>
      <c r="D88" t="s">
        <v>2</v>
      </c>
      <c r="E88" t="s">
        <v>1349</v>
      </c>
      <c r="F88" t="s">
        <v>747</v>
      </c>
      <c r="N88" t="s">
        <v>1352</v>
      </c>
    </row>
    <row r="89" spans="1:14">
      <c r="A89" s="11">
        <v>46209</v>
      </c>
      <c r="B89" s="11" t="s">
        <v>871</v>
      </c>
      <c r="D89" t="s">
        <v>2</v>
      </c>
      <c r="E89" t="s">
        <v>1030</v>
      </c>
      <c r="F89" t="s">
        <v>747</v>
      </c>
      <c r="L89" s="3" t="s">
        <v>5</v>
      </c>
    </row>
    <row r="90" spans="1:14">
      <c r="A90" s="11">
        <v>46206</v>
      </c>
      <c r="B90" s="11" t="s">
        <v>871</v>
      </c>
      <c r="D90" t="s">
        <v>0</v>
      </c>
      <c r="E90" t="s">
        <v>897</v>
      </c>
      <c r="F90" t="s">
        <v>125</v>
      </c>
      <c r="N90" t="s">
        <v>1348</v>
      </c>
    </row>
    <row r="91" spans="1:14">
      <c r="A91" s="11">
        <v>46206</v>
      </c>
      <c r="B91" s="11" t="s">
        <v>871</v>
      </c>
      <c r="D91" t="s">
        <v>0</v>
      </c>
      <c r="E91" t="s">
        <v>28</v>
      </c>
      <c r="F91" t="s">
        <v>578</v>
      </c>
      <c r="M91" s="3" t="s">
        <v>5</v>
      </c>
    </row>
    <row r="92" spans="1:14">
      <c r="A92" s="11">
        <v>46205</v>
      </c>
      <c r="B92" s="11" t="s">
        <v>871</v>
      </c>
      <c r="D92" t="s">
        <v>0</v>
      </c>
      <c r="E92" t="s">
        <v>1346</v>
      </c>
      <c r="F92" t="s">
        <v>386</v>
      </c>
      <c r="I92" s="3" t="s">
        <v>5</v>
      </c>
    </row>
    <row r="93" spans="1:14">
      <c r="A93" s="11">
        <v>46205</v>
      </c>
      <c r="B93" s="11" t="s">
        <v>871</v>
      </c>
      <c r="D93" t="s">
        <v>0</v>
      </c>
      <c r="E93" t="s">
        <v>1119</v>
      </c>
      <c r="F93" t="s">
        <v>269</v>
      </c>
      <c r="I93" s="3" t="s">
        <v>5</v>
      </c>
      <c r="N93" t="s">
        <v>1345</v>
      </c>
    </row>
    <row r="94" spans="1:14">
      <c r="A94" s="11">
        <v>46205</v>
      </c>
      <c r="B94" s="11" t="s">
        <v>871</v>
      </c>
      <c r="D94" t="s">
        <v>8</v>
      </c>
      <c r="E94" t="s">
        <v>1328</v>
      </c>
      <c r="F94" t="s">
        <v>719</v>
      </c>
      <c r="I94" s="3" t="s">
        <v>5</v>
      </c>
      <c r="N94" t="s">
        <v>1344</v>
      </c>
    </row>
    <row r="95" spans="1:14">
      <c r="A95" s="11">
        <v>46205</v>
      </c>
      <c r="B95" s="11" t="s">
        <v>871</v>
      </c>
      <c r="D95" t="s">
        <v>8</v>
      </c>
      <c r="E95" t="s">
        <v>1343</v>
      </c>
      <c r="F95" t="s">
        <v>976</v>
      </c>
      <c r="G95" s="3" t="s">
        <v>5</v>
      </c>
    </row>
    <row r="96" spans="1:14">
      <c r="A96" s="11">
        <v>46205</v>
      </c>
      <c r="B96" s="11" t="s">
        <v>871</v>
      </c>
      <c r="D96" t="s">
        <v>8</v>
      </c>
      <c r="E96" t="s">
        <v>1290</v>
      </c>
      <c r="F96" t="s">
        <v>1305</v>
      </c>
      <c r="G96" s="3" t="s">
        <v>5</v>
      </c>
      <c r="N96" t="s">
        <v>1351</v>
      </c>
    </row>
    <row r="97" spans="1:14">
      <c r="A97" s="11">
        <v>46204</v>
      </c>
      <c r="B97" s="11" t="s">
        <v>871</v>
      </c>
      <c r="D97" t="s">
        <v>0</v>
      </c>
      <c r="E97" t="s">
        <v>897</v>
      </c>
      <c r="F97" t="s">
        <v>577</v>
      </c>
      <c r="N97" t="s">
        <v>1342</v>
      </c>
    </row>
    <row r="98" spans="1:14">
      <c r="A98" s="11">
        <v>46204</v>
      </c>
      <c r="B98" s="11" t="s">
        <v>871</v>
      </c>
      <c r="D98" t="s">
        <v>8</v>
      </c>
      <c r="E98" t="s">
        <v>1315</v>
      </c>
      <c r="F98" t="s">
        <v>130</v>
      </c>
      <c r="I98" s="3" t="s">
        <v>5</v>
      </c>
      <c r="N98" t="s">
        <v>1340</v>
      </c>
    </row>
    <row r="99" spans="1:14">
      <c r="A99" s="11">
        <v>46203</v>
      </c>
      <c r="B99" s="11" t="s">
        <v>871</v>
      </c>
      <c r="D99" t="s">
        <v>2</v>
      </c>
      <c r="E99" t="s">
        <v>1338</v>
      </c>
      <c r="F99" t="s">
        <v>97</v>
      </c>
    </row>
    <row r="100" spans="1:14">
      <c r="A100" s="11">
        <v>46203</v>
      </c>
      <c r="B100" s="11" t="s">
        <v>871</v>
      </c>
      <c r="D100" t="s">
        <v>2</v>
      </c>
      <c r="E100" t="s">
        <v>1249</v>
      </c>
      <c r="F100" t="s">
        <v>97</v>
      </c>
      <c r="M100" s="3" t="s">
        <v>5</v>
      </c>
      <c r="N100" t="s">
        <v>1337</v>
      </c>
    </row>
    <row r="101" spans="1:14">
      <c r="A101" s="11">
        <v>46202</v>
      </c>
      <c r="B101" s="11" t="s">
        <v>871</v>
      </c>
      <c r="D101" t="s">
        <v>2</v>
      </c>
      <c r="E101" t="s">
        <v>1336</v>
      </c>
      <c r="F101" t="s">
        <v>812</v>
      </c>
      <c r="L101" s="3" t="s">
        <v>5</v>
      </c>
    </row>
    <row r="102" spans="1:14">
      <c r="A102" s="11">
        <v>46202</v>
      </c>
      <c r="B102" s="11" t="s">
        <v>871</v>
      </c>
      <c r="D102" t="s">
        <v>0</v>
      </c>
      <c r="E102" t="s">
        <v>1091</v>
      </c>
      <c r="F102" t="s">
        <v>760</v>
      </c>
      <c r="L102" s="3" t="s">
        <v>5</v>
      </c>
      <c r="N102" t="s">
        <v>896</v>
      </c>
    </row>
    <row r="103" spans="1:14">
      <c r="A103" s="11">
        <v>46202</v>
      </c>
      <c r="B103" s="11" t="s">
        <v>871</v>
      </c>
      <c r="D103" t="s">
        <v>2</v>
      </c>
      <c r="E103" t="s">
        <v>1335</v>
      </c>
      <c r="F103" t="s">
        <v>141</v>
      </c>
      <c r="I103" s="3" t="s">
        <v>5</v>
      </c>
    </row>
    <row r="104" spans="1:14">
      <c r="A104" s="11">
        <v>46202</v>
      </c>
      <c r="B104" s="11" t="s">
        <v>871</v>
      </c>
      <c r="D104" t="s">
        <v>2</v>
      </c>
      <c r="E104" t="s">
        <v>1334</v>
      </c>
      <c r="F104" t="s">
        <v>141</v>
      </c>
    </row>
    <row r="105" spans="1:14">
      <c r="A105" s="11">
        <v>46202</v>
      </c>
      <c r="B105" s="11" t="s">
        <v>871</v>
      </c>
      <c r="D105" t="s">
        <v>0</v>
      </c>
      <c r="E105" t="s">
        <v>1255</v>
      </c>
      <c r="F105" t="s">
        <v>71</v>
      </c>
      <c r="N105" t="s">
        <v>996</v>
      </c>
    </row>
    <row r="106" spans="1:14">
      <c r="A106" s="11">
        <v>46199</v>
      </c>
      <c r="B106" s="11" t="s">
        <v>871</v>
      </c>
      <c r="D106" t="s">
        <v>8</v>
      </c>
      <c r="E106" t="s">
        <v>1232</v>
      </c>
      <c r="F106" t="s">
        <v>463</v>
      </c>
      <c r="I106" s="3" t="s">
        <v>5</v>
      </c>
    </row>
    <row r="107" spans="1:14">
      <c r="A107" s="11">
        <v>46197</v>
      </c>
      <c r="B107" s="11" t="s">
        <v>871</v>
      </c>
      <c r="D107" t="s">
        <v>2</v>
      </c>
      <c r="E107" t="s">
        <v>1265</v>
      </c>
      <c r="F107" t="s">
        <v>452</v>
      </c>
      <c r="I107" s="3" t="s">
        <v>5</v>
      </c>
      <c r="N107" t="s">
        <v>1333</v>
      </c>
    </row>
    <row r="108" spans="1:14">
      <c r="A108" s="11">
        <v>46197</v>
      </c>
      <c r="B108" s="11" t="s">
        <v>871</v>
      </c>
      <c r="D108" t="s">
        <v>2</v>
      </c>
      <c r="E108" t="s">
        <v>1330</v>
      </c>
      <c r="F108" t="s">
        <v>1331</v>
      </c>
      <c r="I108" s="3" t="s">
        <v>5</v>
      </c>
      <c r="N108" t="s">
        <v>1332</v>
      </c>
    </row>
    <row r="109" spans="1:14">
      <c r="A109" s="11">
        <v>46192</v>
      </c>
      <c r="B109" s="11" t="s">
        <v>870</v>
      </c>
      <c r="D109" t="s">
        <v>2</v>
      </c>
      <c r="E109" t="s">
        <v>1133</v>
      </c>
      <c r="F109" t="s">
        <v>1134</v>
      </c>
      <c r="I109" s="3" t="s">
        <v>5</v>
      </c>
      <c r="N109" t="s">
        <v>1327</v>
      </c>
    </row>
    <row r="110" spans="1:14">
      <c r="A110" s="11">
        <v>46190</v>
      </c>
      <c r="B110" s="11" t="s">
        <v>871</v>
      </c>
      <c r="D110" t="s">
        <v>0</v>
      </c>
      <c r="E110" t="s">
        <v>1324</v>
      </c>
      <c r="F110" t="s">
        <v>520</v>
      </c>
    </row>
    <row r="111" spans="1:14">
      <c r="A111" s="11">
        <v>46190</v>
      </c>
      <c r="B111" s="11" t="s">
        <v>871</v>
      </c>
      <c r="D111" t="s">
        <v>2</v>
      </c>
      <c r="E111" t="s">
        <v>1324</v>
      </c>
      <c r="F111" t="s">
        <v>557</v>
      </c>
      <c r="N111" t="s">
        <v>1325</v>
      </c>
    </row>
    <row r="112" spans="1:14">
      <c r="A112" s="11">
        <v>46190</v>
      </c>
      <c r="B112" s="11" t="s">
        <v>871</v>
      </c>
      <c r="D112" t="s">
        <v>2</v>
      </c>
      <c r="E112" t="s">
        <v>1227</v>
      </c>
      <c r="F112" t="s">
        <v>97</v>
      </c>
      <c r="N112" t="s">
        <v>1308</v>
      </c>
    </row>
    <row r="113" spans="1:14">
      <c r="A113" s="11">
        <v>46190</v>
      </c>
      <c r="B113" s="11" t="s">
        <v>871</v>
      </c>
      <c r="D113" t="s">
        <v>2</v>
      </c>
      <c r="E113" t="s">
        <v>1322</v>
      </c>
      <c r="F113" t="s">
        <v>400</v>
      </c>
      <c r="N113" t="s">
        <v>1126</v>
      </c>
    </row>
    <row r="114" spans="1:14">
      <c r="A114" s="11">
        <v>46190</v>
      </c>
      <c r="B114" s="11" t="s">
        <v>871</v>
      </c>
      <c r="D114" t="s">
        <v>0</v>
      </c>
      <c r="E114" t="s">
        <v>1155</v>
      </c>
      <c r="F114" t="s">
        <v>130</v>
      </c>
      <c r="G114" s="3" t="s">
        <v>5</v>
      </c>
    </row>
    <row r="115" spans="1:14">
      <c r="A115" s="11">
        <v>46190</v>
      </c>
      <c r="B115" s="11" t="s">
        <v>871</v>
      </c>
      <c r="D115" t="s">
        <v>0</v>
      </c>
      <c r="E115" t="s">
        <v>897</v>
      </c>
      <c r="F115" t="s">
        <v>152</v>
      </c>
      <c r="N115" t="s">
        <v>1319</v>
      </c>
    </row>
    <row r="116" spans="1:14">
      <c r="A116" s="11">
        <v>46190</v>
      </c>
      <c r="B116" s="11" t="s">
        <v>871</v>
      </c>
      <c r="D116" t="s">
        <v>8</v>
      </c>
      <c r="E116" t="s">
        <v>1318</v>
      </c>
      <c r="F116" t="s">
        <v>572</v>
      </c>
      <c r="I116" s="3" t="s">
        <v>5</v>
      </c>
      <c r="N116" t="s">
        <v>1347</v>
      </c>
    </row>
    <row r="117" spans="1:14">
      <c r="A117" s="11">
        <v>46190</v>
      </c>
      <c r="B117" s="11" t="s">
        <v>881</v>
      </c>
      <c r="D117" t="s">
        <v>0</v>
      </c>
      <c r="E117" t="s">
        <v>1317</v>
      </c>
      <c r="F117" t="s">
        <v>499</v>
      </c>
      <c r="I117" s="3" t="s">
        <v>5</v>
      </c>
      <c r="N117" t="s">
        <v>1326</v>
      </c>
    </row>
    <row r="118" spans="1:14">
      <c r="A118" s="11">
        <v>46190</v>
      </c>
      <c r="B118" s="11" t="s">
        <v>871</v>
      </c>
      <c r="D118" t="s">
        <v>2</v>
      </c>
      <c r="E118" t="s">
        <v>1316</v>
      </c>
      <c r="F118" t="s">
        <v>502</v>
      </c>
      <c r="J118" s="3" t="s">
        <v>5</v>
      </c>
    </row>
    <row r="119" spans="1:14">
      <c r="A119" s="11">
        <v>46190</v>
      </c>
      <c r="B119" s="11" t="s">
        <v>871</v>
      </c>
      <c r="D119" t="s">
        <v>8</v>
      </c>
      <c r="E119" t="s">
        <v>1315</v>
      </c>
      <c r="F119" t="s">
        <v>130</v>
      </c>
      <c r="I119" s="3" t="s">
        <v>5</v>
      </c>
    </row>
    <row r="120" spans="1:14">
      <c r="A120" s="11">
        <v>46190</v>
      </c>
      <c r="B120" s="11" t="s">
        <v>871</v>
      </c>
      <c r="D120" t="s">
        <v>2</v>
      </c>
      <c r="E120" t="s">
        <v>1206</v>
      </c>
      <c r="F120" t="s">
        <v>105</v>
      </c>
      <c r="K120" s="3" t="s">
        <v>5</v>
      </c>
    </row>
    <row r="121" spans="1:14">
      <c r="A121" s="11">
        <v>46189</v>
      </c>
      <c r="B121" s="11" t="s">
        <v>871</v>
      </c>
      <c r="D121" t="s">
        <v>2</v>
      </c>
      <c r="E121" t="s">
        <v>1314</v>
      </c>
      <c r="F121" t="s">
        <v>722</v>
      </c>
    </row>
    <row r="122" spans="1:14">
      <c r="A122" s="11">
        <v>46189</v>
      </c>
      <c r="B122" s="11" t="s">
        <v>871</v>
      </c>
      <c r="D122" t="s">
        <v>2</v>
      </c>
      <c r="E122" t="s">
        <v>1262</v>
      </c>
      <c r="F122" t="s">
        <v>747</v>
      </c>
    </row>
    <row r="123" spans="1:14">
      <c r="A123" s="11">
        <v>46189</v>
      </c>
      <c r="B123" s="11" t="s">
        <v>871</v>
      </c>
      <c r="D123" t="s">
        <v>0</v>
      </c>
      <c r="E123" t="s">
        <v>1312</v>
      </c>
      <c r="F123" t="s">
        <v>751</v>
      </c>
      <c r="N123" t="s">
        <v>1313</v>
      </c>
    </row>
    <row r="124" spans="1:14">
      <c r="A124" s="11">
        <v>46188</v>
      </c>
      <c r="B124" s="11" t="s">
        <v>871</v>
      </c>
      <c r="D124" t="s">
        <v>2</v>
      </c>
      <c r="E124" t="s">
        <v>1265</v>
      </c>
      <c r="F124" t="s">
        <v>452</v>
      </c>
      <c r="I124" s="3" t="s">
        <v>5</v>
      </c>
    </row>
    <row r="125" spans="1:14">
      <c r="A125" s="11">
        <v>46188</v>
      </c>
      <c r="B125" s="11" t="s">
        <v>871</v>
      </c>
      <c r="D125" t="s">
        <v>2</v>
      </c>
      <c r="E125" t="s">
        <v>1311</v>
      </c>
      <c r="F125" t="s">
        <v>475</v>
      </c>
    </row>
    <row r="126" spans="1:14">
      <c r="A126" s="11">
        <v>46188</v>
      </c>
      <c r="B126" s="11" t="s">
        <v>871</v>
      </c>
      <c r="D126" t="s">
        <v>0</v>
      </c>
      <c r="E126" t="s">
        <v>1310</v>
      </c>
      <c r="F126" t="s">
        <v>158</v>
      </c>
    </row>
    <row r="127" spans="1:14">
      <c r="A127" s="11">
        <v>46188</v>
      </c>
      <c r="B127" s="11" t="s">
        <v>871</v>
      </c>
      <c r="D127" t="s">
        <v>0</v>
      </c>
      <c r="E127" t="s">
        <v>1309</v>
      </c>
      <c r="F127" t="s">
        <v>499</v>
      </c>
      <c r="I127" s="3" t="s">
        <v>5</v>
      </c>
      <c r="L127" s="3" t="s">
        <v>5</v>
      </c>
    </row>
    <row r="128" spans="1:14">
      <c r="A128" s="11">
        <v>46188</v>
      </c>
      <c r="B128" s="11" t="s">
        <v>871</v>
      </c>
      <c r="D128" t="s">
        <v>0</v>
      </c>
      <c r="E128" t="s">
        <v>1227</v>
      </c>
      <c r="F128" t="s">
        <v>635</v>
      </c>
      <c r="N128" t="s">
        <v>1308</v>
      </c>
    </row>
    <row r="129" spans="1:14">
      <c r="A129" s="11">
        <v>46188</v>
      </c>
      <c r="B129" s="11" t="s">
        <v>871</v>
      </c>
      <c r="D129" t="s">
        <v>2</v>
      </c>
      <c r="E129" t="s">
        <v>1124</v>
      </c>
      <c r="F129" t="s">
        <v>97</v>
      </c>
      <c r="N129" t="s">
        <v>1308</v>
      </c>
    </row>
    <row r="130" spans="1:14">
      <c r="A130" s="11">
        <v>46185</v>
      </c>
      <c r="B130" s="11" t="s">
        <v>871</v>
      </c>
      <c r="D130" t="s">
        <v>8</v>
      </c>
      <c r="E130" t="s">
        <v>1306</v>
      </c>
      <c r="F130" t="s">
        <v>1305</v>
      </c>
      <c r="J130" s="3" t="s">
        <v>5</v>
      </c>
    </row>
    <row r="131" spans="1:14">
      <c r="A131" s="11">
        <v>46185</v>
      </c>
      <c r="B131" s="11" t="s">
        <v>871</v>
      </c>
      <c r="D131" t="s">
        <v>8</v>
      </c>
      <c r="E131" t="s">
        <v>1304</v>
      </c>
      <c r="F131" t="s">
        <v>1305</v>
      </c>
      <c r="G131" s="3" t="s">
        <v>5</v>
      </c>
      <c r="H131" s="3" t="s">
        <v>5</v>
      </c>
      <c r="I131" s="3" t="s">
        <v>5</v>
      </c>
    </row>
    <row r="132" spans="1:14">
      <c r="A132" s="11">
        <v>46185</v>
      </c>
      <c r="B132" s="11" t="s">
        <v>871</v>
      </c>
      <c r="D132" t="s">
        <v>8</v>
      </c>
      <c r="E132" t="s">
        <v>1129</v>
      </c>
      <c r="F132" t="s">
        <v>584</v>
      </c>
      <c r="I132" s="3" t="s">
        <v>5</v>
      </c>
      <c r="N132" t="s">
        <v>1307</v>
      </c>
    </row>
    <row r="133" spans="1:14">
      <c r="A133" s="11">
        <v>46184</v>
      </c>
      <c r="B133" s="11" t="s">
        <v>871</v>
      </c>
      <c r="D133" t="s">
        <v>0</v>
      </c>
      <c r="E133" t="s">
        <v>1159</v>
      </c>
      <c r="F133" t="s">
        <v>499</v>
      </c>
      <c r="H133" s="3" t="s">
        <v>5</v>
      </c>
    </row>
    <row r="134" spans="1:14">
      <c r="A134" s="11">
        <v>46184</v>
      </c>
      <c r="B134" s="11" t="s">
        <v>871</v>
      </c>
      <c r="D134" t="s">
        <v>0</v>
      </c>
      <c r="E134" t="s">
        <v>15</v>
      </c>
      <c r="F134" t="s">
        <v>269</v>
      </c>
    </row>
    <row r="135" spans="1:14">
      <c r="A135" s="11">
        <v>46184</v>
      </c>
      <c r="B135" s="11" t="s">
        <v>871</v>
      </c>
      <c r="D135" t="s">
        <v>0</v>
      </c>
      <c r="E135" t="s">
        <v>1301</v>
      </c>
      <c r="F135" t="s">
        <v>131</v>
      </c>
      <c r="I135" s="3" t="s">
        <v>5</v>
      </c>
    </row>
    <row r="136" spans="1:14">
      <c r="A136" s="11">
        <v>46184</v>
      </c>
      <c r="B136" s="11" t="s">
        <v>871</v>
      </c>
      <c r="D136" t="s">
        <v>0</v>
      </c>
      <c r="E136" t="s">
        <v>1300</v>
      </c>
      <c r="F136" t="s">
        <v>131</v>
      </c>
      <c r="I136" s="3" t="s">
        <v>5</v>
      </c>
    </row>
    <row r="137" spans="1:14">
      <c r="A137" s="11">
        <v>46184</v>
      </c>
      <c r="B137" s="11" t="s">
        <v>871</v>
      </c>
      <c r="D137" t="s">
        <v>0</v>
      </c>
      <c r="E137" t="s">
        <v>6</v>
      </c>
      <c r="F137" t="s">
        <v>577</v>
      </c>
      <c r="K137" s="3" t="s">
        <v>5</v>
      </c>
    </row>
    <row r="138" spans="1:14">
      <c r="A138" s="11">
        <v>46183</v>
      </c>
      <c r="B138" s="11" t="s">
        <v>871</v>
      </c>
      <c r="D138" t="s">
        <v>2</v>
      </c>
      <c r="E138" t="s">
        <v>926</v>
      </c>
      <c r="F138" t="s">
        <v>623</v>
      </c>
      <c r="N138" t="s">
        <v>1302</v>
      </c>
    </row>
    <row r="139" spans="1:14">
      <c r="A139" s="11">
        <v>46183</v>
      </c>
      <c r="B139" s="11" t="s">
        <v>871</v>
      </c>
      <c r="D139" t="s">
        <v>2</v>
      </c>
      <c r="E139" t="s">
        <v>1297</v>
      </c>
      <c r="F139" t="s">
        <v>673</v>
      </c>
    </row>
    <row r="140" spans="1:14">
      <c r="A140" s="11">
        <v>46183</v>
      </c>
      <c r="B140" s="11" t="s">
        <v>871</v>
      </c>
      <c r="D140" t="s">
        <v>0</v>
      </c>
      <c r="E140" t="s">
        <v>28</v>
      </c>
      <c r="F140" t="s">
        <v>578</v>
      </c>
      <c r="K140" s="3" t="s">
        <v>5</v>
      </c>
    </row>
    <row r="141" spans="1:14">
      <c r="A141" s="11">
        <v>46183</v>
      </c>
      <c r="B141" s="11" t="s">
        <v>871</v>
      </c>
      <c r="D141" t="s">
        <v>0</v>
      </c>
      <c r="E141" t="s">
        <v>1296</v>
      </c>
      <c r="F141" t="s">
        <v>488</v>
      </c>
      <c r="K141" s="3" t="s">
        <v>5</v>
      </c>
    </row>
    <row r="142" spans="1:14">
      <c r="A142" s="11">
        <v>46181</v>
      </c>
      <c r="B142" s="11" t="s">
        <v>871</v>
      </c>
      <c r="D142" t="s">
        <v>2</v>
      </c>
      <c r="E142" t="s">
        <v>1174</v>
      </c>
      <c r="F142" t="s">
        <v>1292</v>
      </c>
      <c r="N142" t="s">
        <v>1293</v>
      </c>
    </row>
    <row r="143" spans="1:14">
      <c r="A143" s="11">
        <v>46181</v>
      </c>
      <c r="B143" s="11" t="s">
        <v>871</v>
      </c>
      <c r="D143" t="s">
        <v>8</v>
      </c>
      <c r="E143" t="s">
        <v>1290</v>
      </c>
      <c r="F143" t="s">
        <v>584</v>
      </c>
      <c r="I143" s="3" t="s">
        <v>5</v>
      </c>
    </row>
    <row r="144" spans="1:14">
      <c r="A144" s="11">
        <v>46181</v>
      </c>
      <c r="B144" s="11" t="s">
        <v>871</v>
      </c>
      <c r="D144" t="s">
        <v>0</v>
      </c>
      <c r="E144" t="s">
        <v>1289</v>
      </c>
      <c r="F144" t="s">
        <v>46</v>
      </c>
    </row>
    <row r="145" spans="1:15">
      <c r="A145" s="11">
        <v>46180</v>
      </c>
      <c r="B145" s="11" t="s">
        <v>871</v>
      </c>
      <c r="D145" t="s">
        <v>2</v>
      </c>
      <c r="E145" t="s">
        <v>1288</v>
      </c>
      <c r="F145" t="s">
        <v>811</v>
      </c>
    </row>
    <row r="146" spans="1:15">
      <c r="A146" s="11">
        <v>46178</v>
      </c>
      <c r="B146" s="11" t="s">
        <v>871</v>
      </c>
      <c r="D146" t="s">
        <v>8</v>
      </c>
      <c r="E146" t="s">
        <v>1286</v>
      </c>
      <c r="F146" t="s">
        <v>520</v>
      </c>
      <c r="J146" s="3" t="s">
        <v>5</v>
      </c>
    </row>
    <row r="147" spans="1:15">
      <c r="A147" s="11">
        <v>46178</v>
      </c>
      <c r="B147" s="11" t="s">
        <v>871</v>
      </c>
      <c r="D147" t="s">
        <v>2</v>
      </c>
      <c r="E147" t="s">
        <v>899</v>
      </c>
      <c r="F147" t="s">
        <v>475</v>
      </c>
      <c r="I147" s="3" t="s">
        <v>5</v>
      </c>
      <c r="N147" t="s">
        <v>1284</v>
      </c>
    </row>
    <row r="148" spans="1:15">
      <c r="A148" s="11">
        <v>46178</v>
      </c>
      <c r="B148" s="11" t="s">
        <v>871</v>
      </c>
      <c r="D148" t="s">
        <v>8</v>
      </c>
      <c r="E148" t="s">
        <v>1280</v>
      </c>
      <c r="F148" t="s">
        <v>139</v>
      </c>
      <c r="I148" s="3" t="s">
        <v>5</v>
      </c>
    </row>
    <row r="149" spans="1:15">
      <c r="A149" s="11">
        <v>46178</v>
      </c>
      <c r="B149" s="11" t="s">
        <v>871</v>
      </c>
      <c r="D149" t="s">
        <v>2</v>
      </c>
      <c r="E149" t="s">
        <v>1030</v>
      </c>
      <c r="F149" t="s">
        <v>747</v>
      </c>
    </row>
    <row r="150" spans="1:15">
      <c r="A150" s="11">
        <v>46178</v>
      </c>
      <c r="B150" s="11" t="s">
        <v>881</v>
      </c>
      <c r="D150" t="s">
        <v>2</v>
      </c>
      <c r="E150" t="s">
        <v>1279</v>
      </c>
      <c r="F150" t="s">
        <v>653</v>
      </c>
      <c r="I150" s="3" t="s">
        <v>5</v>
      </c>
    </row>
    <row r="151" spans="1:15">
      <c r="A151" s="11">
        <v>46177</v>
      </c>
      <c r="B151" s="11" t="s">
        <v>871</v>
      </c>
      <c r="D151" t="s">
        <v>2</v>
      </c>
      <c r="E151" t="s">
        <v>1030</v>
      </c>
      <c r="F151" t="s">
        <v>747</v>
      </c>
      <c r="N151" t="s">
        <v>1224</v>
      </c>
    </row>
    <row r="152" spans="1:15">
      <c r="A152" s="11">
        <v>46177</v>
      </c>
      <c r="B152" s="11" t="s">
        <v>871</v>
      </c>
      <c r="D152" t="s">
        <v>0</v>
      </c>
      <c r="E152" t="s">
        <v>1278</v>
      </c>
      <c r="F152" t="s">
        <v>269</v>
      </c>
    </row>
    <row r="153" spans="1:15">
      <c r="A153" s="11">
        <v>46176</v>
      </c>
      <c r="B153" s="11" t="s">
        <v>871</v>
      </c>
      <c r="D153" t="s">
        <v>2</v>
      </c>
      <c r="E153" t="s">
        <v>1276</v>
      </c>
      <c r="F153" t="s">
        <v>97</v>
      </c>
      <c r="N153" t="s">
        <v>1277</v>
      </c>
      <c r="O153" t="s">
        <v>1285</v>
      </c>
    </row>
    <row r="154" spans="1:15">
      <c r="A154" s="11">
        <v>46176</v>
      </c>
      <c r="B154" s="11" t="s">
        <v>871</v>
      </c>
      <c r="D154" t="s">
        <v>2</v>
      </c>
      <c r="E154" t="s">
        <v>926</v>
      </c>
      <c r="F154" t="s">
        <v>963</v>
      </c>
      <c r="G154" s="3" t="s">
        <v>5</v>
      </c>
      <c r="N154" t="s">
        <v>1275</v>
      </c>
    </row>
    <row r="155" spans="1:15">
      <c r="A155" s="11">
        <v>46176</v>
      </c>
      <c r="B155" s="11" t="s">
        <v>871</v>
      </c>
      <c r="D155" t="s">
        <v>2</v>
      </c>
      <c r="E155" t="s">
        <v>1274</v>
      </c>
      <c r="F155" t="s">
        <v>722</v>
      </c>
      <c r="I155" s="3" t="s">
        <v>5</v>
      </c>
    </row>
    <row r="156" spans="1:15">
      <c r="A156" s="11">
        <v>46176</v>
      </c>
      <c r="B156" s="11" t="s">
        <v>871</v>
      </c>
      <c r="D156" t="s">
        <v>2</v>
      </c>
      <c r="E156" t="s">
        <v>1273</v>
      </c>
      <c r="F156" t="s">
        <v>596</v>
      </c>
      <c r="G156" s="3" t="s">
        <v>5</v>
      </c>
      <c r="H156" s="3" t="s">
        <v>5</v>
      </c>
      <c r="J156" s="3" t="s">
        <v>5</v>
      </c>
    </row>
    <row r="157" spans="1:15">
      <c r="A157" s="11">
        <v>46176</v>
      </c>
      <c r="B157" s="11" t="s">
        <v>871</v>
      </c>
      <c r="D157" t="s">
        <v>2</v>
      </c>
      <c r="E157" t="s">
        <v>1272</v>
      </c>
      <c r="F157" t="s">
        <v>653</v>
      </c>
    </row>
    <row r="158" spans="1:15">
      <c r="A158" s="11">
        <v>46176</v>
      </c>
      <c r="B158" s="11" t="s">
        <v>871</v>
      </c>
      <c r="D158" t="s">
        <v>0</v>
      </c>
      <c r="E158" t="s">
        <v>897</v>
      </c>
      <c r="F158" t="s">
        <v>744</v>
      </c>
    </row>
    <row r="159" spans="1:15">
      <c r="A159" s="11">
        <v>46175</v>
      </c>
      <c r="B159" s="11" t="s">
        <v>871</v>
      </c>
      <c r="D159" t="s">
        <v>0</v>
      </c>
      <c r="E159" t="s">
        <v>65</v>
      </c>
      <c r="F159" t="s">
        <v>760</v>
      </c>
      <c r="N159" t="s">
        <v>1271</v>
      </c>
    </row>
    <row r="160" spans="1:15">
      <c r="A160" s="11">
        <v>46174</v>
      </c>
      <c r="B160" s="11" t="s">
        <v>871</v>
      </c>
      <c r="D160" t="s">
        <v>2</v>
      </c>
      <c r="E160" t="s">
        <v>14</v>
      </c>
      <c r="F160" t="s">
        <v>557</v>
      </c>
      <c r="N160" t="s">
        <v>1270</v>
      </c>
    </row>
    <row r="161" spans="1:14">
      <c r="A161" s="11">
        <v>46175</v>
      </c>
      <c r="B161" s="11" t="s">
        <v>871</v>
      </c>
      <c r="D161" t="s">
        <v>8</v>
      </c>
      <c r="E161" t="s">
        <v>1225</v>
      </c>
      <c r="F161" t="s">
        <v>463</v>
      </c>
      <c r="M161" s="3" t="s">
        <v>5</v>
      </c>
      <c r="N161" t="s">
        <v>1267</v>
      </c>
    </row>
    <row r="162" spans="1:14">
      <c r="A162" s="11">
        <v>46174</v>
      </c>
      <c r="B162" s="11" t="s">
        <v>871</v>
      </c>
      <c r="D162" t="s">
        <v>2</v>
      </c>
      <c r="E162" t="s">
        <v>1266</v>
      </c>
      <c r="F162" t="s">
        <v>758</v>
      </c>
    </row>
    <row r="163" spans="1:14">
      <c r="A163" s="11">
        <v>46174</v>
      </c>
      <c r="B163" s="11" t="s">
        <v>871</v>
      </c>
      <c r="D163" t="s">
        <v>2</v>
      </c>
      <c r="E163" t="s">
        <v>1265</v>
      </c>
      <c r="F163" t="s">
        <v>452</v>
      </c>
      <c r="G163" s="3" t="s">
        <v>5</v>
      </c>
    </row>
    <row r="164" spans="1:14">
      <c r="A164" s="11">
        <v>46174</v>
      </c>
      <c r="B164" s="11" t="s">
        <v>871</v>
      </c>
      <c r="D164" t="s">
        <v>2</v>
      </c>
      <c r="E164" t="s">
        <v>1263</v>
      </c>
      <c r="F164" t="s">
        <v>747</v>
      </c>
      <c r="J164" s="3" t="s">
        <v>5</v>
      </c>
    </row>
    <row r="165" spans="1:14">
      <c r="A165" s="11">
        <v>46174</v>
      </c>
      <c r="B165" s="11" t="s">
        <v>871</v>
      </c>
      <c r="D165" t="s">
        <v>8</v>
      </c>
      <c r="E165" t="s">
        <v>955</v>
      </c>
      <c r="F165" t="s">
        <v>670</v>
      </c>
      <c r="N165" t="s">
        <v>961</v>
      </c>
    </row>
    <row r="166" spans="1:14">
      <c r="A166" s="11">
        <v>46174</v>
      </c>
      <c r="B166" s="11" t="s">
        <v>871</v>
      </c>
      <c r="D166" t="s">
        <v>0</v>
      </c>
      <c r="E166" t="s">
        <v>1262</v>
      </c>
      <c r="F166" t="s">
        <v>635</v>
      </c>
      <c r="N166" t="s">
        <v>996</v>
      </c>
    </row>
    <row r="167" spans="1:14">
      <c r="A167" s="11">
        <v>46174</v>
      </c>
      <c r="B167" s="11" t="s">
        <v>871</v>
      </c>
      <c r="D167" t="s">
        <v>0</v>
      </c>
      <c r="E167" t="s">
        <v>977</v>
      </c>
      <c r="F167" t="s">
        <v>269</v>
      </c>
      <c r="N167" t="s">
        <v>1131</v>
      </c>
    </row>
    <row r="168" spans="1:14">
      <c r="A168" s="11">
        <v>46172</v>
      </c>
      <c r="B168" s="11" t="s">
        <v>871</v>
      </c>
      <c r="D168" t="s">
        <v>2</v>
      </c>
      <c r="E168" t="s">
        <v>1261</v>
      </c>
      <c r="F168" t="s">
        <v>311</v>
      </c>
      <c r="J168" s="3" t="s">
        <v>5</v>
      </c>
    </row>
    <row r="169" spans="1:14">
      <c r="A169" s="11">
        <v>46172</v>
      </c>
      <c r="B169" s="11" t="s">
        <v>871</v>
      </c>
      <c r="D169" t="s">
        <v>2</v>
      </c>
      <c r="E169" t="s">
        <v>1258</v>
      </c>
      <c r="F169" t="s">
        <v>698</v>
      </c>
      <c r="L169" s="3" t="s">
        <v>1259</v>
      </c>
      <c r="N169" t="s">
        <v>1260</v>
      </c>
    </row>
    <row r="170" spans="1:14">
      <c r="A170" s="11">
        <v>46171</v>
      </c>
      <c r="B170" s="11" t="s">
        <v>871</v>
      </c>
      <c r="D170" t="s">
        <v>0</v>
      </c>
      <c r="E170" t="s">
        <v>1255</v>
      </c>
      <c r="F170" t="s">
        <v>71</v>
      </c>
    </row>
    <row r="171" spans="1:14">
      <c r="A171" s="11">
        <v>46171</v>
      </c>
      <c r="B171" s="11" t="s">
        <v>871</v>
      </c>
      <c r="D171" t="s">
        <v>2</v>
      </c>
      <c r="E171" t="s">
        <v>1254</v>
      </c>
      <c r="F171" t="s">
        <v>812</v>
      </c>
      <c r="G171" s="3" t="s">
        <v>5</v>
      </c>
    </row>
    <row r="172" spans="1:14">
      <c r="A172" s="11">
        <v>46171</v>
      </c>
      <c r="B172" s="11" t="s">
        <v>871</v>
      </c>
      <c r="D172" t="s">
        <v>0</v>
      </c>
      <c r="E172" t="s">
        <v>1029</v>
      </c>
      <c r="F172" t="s">
        <v>152</v>
      </c>
    </row>
    <row r="173" spans="1:14">
      <c r="A173" s="11">
        <v>46171</v>
      </c>
      <c r="B173" s="11" t="s">
        <v>871</v>
      </c>
      <c r="D173" t="s">
        <v>2</v>
      </c>
      <c r="E173" t="s">
        <v>1253</v>
      </c>
      <c r="F173" t="s">
        <v>125</v>
      </c>
    </row>
    <row r="174" spans="1:14">
      <c r="A174" s="11">
        <v>46170</v>
      </c>
      <c r="B174" s="11" t="s">
        <v>871</v>
      </c>
      <c r="D174" t="s">
        <v>2</v>
      </c>
      <c r="E174" t="s">
        <v>1250</v>
      </c>
      <c r="F174" t="s">
        <v>311</v>
      </c>
    </row>
    <row r="175" spans="1:14">
      <c r="A175" s="11">
        <v>46170</v>
      </c>
      <c r="B175" s="11" t="s">
        <v>871</v>
      </c>
      <c r="D175" t="s">
        <v>2</v>
      </c>
      <c r="E175" t="s">
        <v>1100</v>
      </c>
      <c r="F175" t="s">
        <v>339</v>
      </c>
    </row>
    <row r="176" spans="1:14">
      <c r="A176" s="11">
        <v>46169</v>
      </c>
      <c r="B176" s="11" t="s">
        <v>871</v>
      </c>
      <c r="D176" t="s">
        <v>0</v>
      </c>
      <c r="E176" t="s">
        <v>1248</v>
      </c>
      <c r="F176" t="s">
        <v>578</v>
      </c>
    </row>
    <row r="177" spans="1:14">
      <c r="A177" s="11">
        <v>46169</v>
      </c>
      <c r="B177" s="11" t="s">
        <v>882</v>
      </c>
      <c r="D177" t="s">
        <v>0</v>
      </c>
      <c r="E177" t="s">
        <v>1246</v>
      </c>
      <c r="F177" t="s">
        <v>578</v>
      </c>
      <c r="N177" t="s">
        <v>1247</v>
      </c>
    </row>
    <row r="178" spans="1:14">
      <c r="A178" s="11">
        <v>46169</v>
      </c>
      <c r="B178" s="11" t="s">
        <v>871</v>
      </c>
      <c r="D178" t="s">
        <v>2</v>
      </c>
      <c r="E178" t="s">
        <v>1244</v>
      </c>
      <c r="F178" t="s">
        <v>475</v>
      </c>
      <c r="I178" s="3" t="s">
        <v>5</v>
      </c>
      <c r="N178" t="s">
        <v>1245</v>
      </c>
    </row>
    <row r="179" spans="1:14">
      <c r="A179" s="11">
        <v>46169</v>
      </c>
      <c r="B179" s="11" t="s">
        <v>871</v>
      </c>
      <c r="D179" t="s">
        <v>0</v>
      </c>
      <c r="E179" t="s">
        <v>897</v>
      </c>
      <c r="F179" t="s">
        <v>174</v>
      </c>
      <c r="N179" t="s">
        <v>961</v>
      </c>
    </row>
    <row r="180" spans="1:14">
      <c r="A180" s="11">
        <v>46169</v>
      </c>
      <c r="B180" s="11" t="s">
        <v>871</v>
      </c>
      <c r="D180" t="s">
        <v>8</v>
      </c>
      <c r="E180" t="s">
        <v>1227</v>
      </c>
      <c r="F180" t="s">
        <v>183</v>
      </c>
      <c r="I180" s="3" t="s">
        <v>5</v>
      </c>
    </row>
    <row r="181" spans="1:14">
      <c r="A181" s="11">
        <v>46169</v>
      </c>
      <c r="B181" s="11" t="s">
        <v>882</v>
      </c>
      <c r="D181" t="s">
        <v>2</v>
      </c>
      <c r="E181" t="s">
        <v>1243</v>
      </c>
      <c r="F181" t="s">
        <v>747</v>
      </c>
    </row>
    <row r="182" spans="1:14">
      <c r="A182" s="11">
        <v>46168</v>
      </c>
      <c r="B182" s="11" t="s">
        <v>871</v>
      </c>
      <c r="D182" t="s">
        <v>2</v>
      </c>
      <c r="E182" t="s">
        <v>1249</v>
      </c>
      <c r="F182" t="s">
        <v>97</v>
      </c>
    </row>
    <row r="183" spans="1:14">
      <c r="A183" s="11">
        <v>46168</v>
      </c>
      <c r="B183" s="11" t="s">
        <v>871</v>
      </c>
      <c r="D183" t="s">
        <v>0</v>
      </c>
      <c r="E183" t="s">
        <v>1000</v>
      </c>
      <c r="F183" t="s">
        <v>386</v>
      </c>
      <c r="H183" s="3" t="s">
        <v>5</v>
      </c>
    </row>
    <row r="184" spans="1:14">
      <c r="A184" s="11">
        <v>46168</v>
      </c>
      <c r="B184" s="11" t="s">
        <v>871</v>
      </c>
      <c r="D184" t="s">
        <v>2</v>
      </c>
      <c r="E184" t="s">
        <v>14</v>
      </c>
      <c r="F184" t="s">
        <v>557</v>
      </c>
      <c r="M184" s="3" t="s">
        <v>5</v>
      </c>
      <c r="N184" t="s">
        <v>1242</v>
      </c>
    </row>
    <row r="185" spans="1:14">
      <c r="A185" s="11">
        <v>46167</v>
      </c>
      <c r="B185" s="11" t="s">
        <v>871</v>
      </c>
      <c r="D185" t="s">
        <v>0</v>
      </c>
      <c r="E185" t="s">
        <v>1116</v>
      </c>
      <c r="F185" t="s">
        <v>499</v>
      </c>
      <c r="I185" s="3" t="s">
        <v>5</v>
      </c>
    </row>
    <row r="186" spans="1:14">
      <c r="A186" s="11">
        <v>46167</v>
      </c>
      <c r="B186" s="11" t="s">
        <v>871</v>
      </c>
      <c r="D186" t="s">
        <v>2</v>
      </c>
      <c r="E186" t="s">
        <v>1239</v>
      </c>
      <c r="F186" t="s">
        <v>97</v>
      </c>
      <c r="N186" t="s">
        <v>1240</v>
      </c>
    </row>
    <row r="187" spans="1:14">
      <c r="A187" s="11">
        <v>46167</v>
      </c>
      <c r="B187" s="11" t="s">
        <v>870</v>
      </c>
      <c r="D187" t="s">
        <v>2</v>
      </c>
      <c r="E187" t="s">
        <v>1199</v>
      </c>
      <c r="F187" t="s">
        <v>747</v>
      </c>
      <c r="G187" s="3" t="s">
        <v>5</v>
      </c>
    </row>
    <row r="188" spans="1:14">
      <c r="A188" s="11">
        <v>46167</v>
      </c>
      <c r="B188" s="11" t="s">
        <v>871</v>
      </c>
      <c r="D188" t="s">
        <v>0</v>
      </c>
      <c r="E188" t="s">
        <v>1238</v>
      </c>
      <c r="F188" t="s">
        <v>158</v>
      </c>
      <c r="L188" s="3" t="s">
        <v>5</v>
      </c>
    </row>
    <row r="189" spans="1:14">
      <c r="A189" s="11">
        <v>46164</v>
      </c>
      <c r="B189" s="11" t="s">
        <v>871</v>
      </c>
      <c r="D189" t="s">
        <v>8</v>
      </c>
      <c r="E189" t="s">
        <v>1237</v>
      </c>
      <c r="F189" t="s">
        <v>318</v>
      </c>
      <c r="I189" s="3" t="s">
        <v>5</v>
      </c>
    </row>
    <row r="190" spans="1:14">
      <c r="A190" s="11">
        <v>46164</v>
      </c>
      <c r="B190" s="11" t="s">
        <v>871</v>
      </c>
      <c r="D190" t="s">
        <v>2</v>
      </c>
      <c r="E190" t="s">
        <v>1236</v>
      </c>
      <c r="F190" t="s">
        <v>452</v>
      </c>
      <c r="J190" s="3" t="s">
        <v>5</v>
      </c>
    </row>
    <row r="191" spans="1:14">
      <c r="A191" s="11">
        <v>46164</v>
      </c>
      <c r="B191" s="11" t="s">
        <v>871</v>
      </c>
      <c r="D191" t="s">
        <v>2</v>
      </c>
      <c r="E191" t="s">
        <v>1235</v>
      </c>
      <c r="F191" t="s">
        <v>653</v>
      </c>
      <c r="G191" s="3" t="s">
        <v>5</v>
      </c>
      <c r="I191" s="3" t="s">
        <v>5</v>
      </c>
      <c r="N191" t="s">
        <v>996</v>
      </c>
    </row>
    <row r="192" spans="1:14">
      <c r="A192" s="11">
        <v>46164</v>
      </c>
      <c r="B192" s="11" t="s">
        <v>871</v>
      </c>
      <c r="D192" t="s">
        <v>0</v>
      </c>
      <c r="E192" t="s">
        <v>1231</v>
      </c>
      <c r="F192" t="s">
        <v>499</v>
      </c>
      <c r="H192" s="3" t="s">
        <v>5</v>
      </c>
    </row>
    <row r="193" spans="1:14">
      <c r="A193" s="11">
        <v>46164</v>
      </c>
      <c r="B193" s="11" t="s">
        <v>871</v>
      </c>
      <c r="D193" t="s">
        <v>0</v>
      </c>
      <c r="E193" t="s">
        <v>1232</v>
      </c>
      <c r="F193" t="s">
        <v>499</v>
      </c>
      <c r="I193" s="3" t="s">
        <v>5</v>
      </c>
    </row>
    <row r="194" spans="1:14">
      <c r="A194" s="11">
        <v>46164</v>
      </c>
      <c r="B194" s="11" t="s">
        <v>870</v>
      </c>
      <c r="D194" t="s">
        <v>0</v>
      </c>
      <c r="E194" t="s">
        <v>1029</v>
      </c>
      <c r="F194" t="s">
        <v>152</v>
      </c>
      <c r="H194" s="3" t="s">
        <v>5</v>
      </c>
      <c r="N194" t="s">
        <v>1233</v>
      </c>
    </row>
    <row r="195" spans="1:14">
      <c r="A195" s="11">
        <v>46163</v>
      </c>
      <c r="B195" s="11" t="s">
        <v>871</v>
      </c>
      <c r="D195" t="s">
        <v>2</v>
      </c>
      <c r="E195" t="s">
        <v>1230</v>
      </c>
      <c r="F195" t="s">
        <v>568</v>
      </c>
    </row>
    <row r="196" spans="1:14">
      <c r="A196" s="11">
        <v>46162</v>
      </c>
      <c r="B196" s="11" t="s">
        <v>871</v>
      </c>
      <c r="D196" t="s">
        <v>2</v>
      </c>
      <c r="E196" t="s">
        <v>926</v>
      </c>
      <c r="F196" t="s">
        <v>1228</v>
      </c>
      <c r="N196" t="s">
        <v>1229</v>
      </c>
    </row>
    <row r="197" spans="1:14">
      <c r="A197" s="11">
        <v>46162</v>
      </c>
      <c r="B197" s="11" t="s">
        <v>871</v>
      </c>
      <c r="C197" s="11">
        <v>46168</v>
      </c>
      <c r="D197" t="s">
        <v>8</v>
      </c>
      <c r="E197" t="s">
        <v>1227</v>
      </c>
      <c r="F197" t="s">
        <v>183</v>
      </c>
    </row>
    <row r="198" spans="1:14">
      <c r="A198" s="11">
        <v>46162</v>
      </c>
      <c r="B198" s="11" t="s">
        <v>871</v>
      </c>
      <c r="D198" t="s">
        <v>8</v>
      </c>
      <c r="E198" t="s">
        <v>1225</v>
      </c>
      <c r="N198" t="s">
        <v>1201</v>
      </c>
    </row>
    <row r="199" spans="1:14">
      <c r="A199" s="11">
        <v>46161</v>
      </c>
      <c r="B199" s="11" t="s">
        <v>871</v>
      </c>
      <c r="D199" t="s">
        <v>2</v>
      </c>
      <c r="E199" t="s">
        <v>1223</v>
      </c>
      <c r="F199" t="s">
        <v>812</v>
      </c>
      <c r="N199" t="s">
        <v>1224</v>
      </c>
    </row>
    <row r="200" spans="1:14">
      <c r="A200" s="11">
        <v>46161</v>
      </c>
      <c r="B200" s="11" t="s">
        <v>871</v>
      </c>
      <c r="D200" t="s">
        <v>0</v>
      </c>
      <c r="E200" t="s">
        <v>1091</v>
      </c>
      <c r="F200" t="s">
        <v>760</v>
      </c>
      <c r="L200" s="3" t="s">
        <v>5</v>
      </c>
    </row>
    <row r="201" spans="1:14">
      <c r="A201" s="11">
        <v>46161</v>
      </c>
      <c r="B201" s="11" t="s">
        <v>871</v>
      </c>
      <c r="D201" t="s">
        <v>0</v>
      </c>
      <c r="E201" t="s">
        <v>897</v>
      </c>
      <c r="F201" t="s">
        <v>295</v>
      </c>
    </row>
    <row r="202" spans="1:14">
      <c r="A202" s="11">
        <v>46160</v>
      </c>
      <c r="B202" s="11" t="s">
        <v>871</v>
      </c>
      <c r="D202" t="s">
        <v>2</v>
      </c>
      <c r="E202" t="s">
        <v>1222</v>
      </c>
      <c r="F202" t="s">
        <v>375</v>
      </c>
      <c r="G202" s="3" t="s">
        <v>5</v>
      </c>
    </row>
    <row r="203" spans="1:14">
      <c r="A203" s="11">
        <v>46160</v>
      </c>
      <c r="B203" s="11" t="s">
        <v>871</v>
      </c>
      <c r="D203" t="s">
        <v>2</v>
      </c>
      <c r="E203" t="s">
        <v>1221</v>
      </c>
      <c r="F203" t="s">
        <v>812</v>
      </c>
      <c r="L203" s="3" t="s">
        <v>5</v>
      </c>
    </row>
    <row r="204" spans="1:14">
      <c r="A204" s="11">
        <v>46160</v>
      </c>
      <c r="B204" s="11" t="s">
        <v>871</v>
      </c>
      <c r="D204" t="s">
        <v>0</v>
      </c>
      <c r="E204" t="s">
        <v>1220</v>
      </c>
      <c r="F204" t="s">
        <v>269</v>
      </c>
      <c r="K204" s="3" t="s">
        <v>5</v>
      </c>
    </row>
    <row r="205" spans="1:14">
      <c r="A205" s="11">
        <v>46157</v>
      </c>
      <c r="B205" s="11" t="s">
        <v>871</v>
      </c>
      <c r="D205" t="s">
        <v>2</v>
      </c>
      <c r="E205" t="s">
        <v>952</v>
      </c>
      <c r="F205" t="s">
        <v>747</v>
      </c>
      <c r="L205" s="3" t="s">
        <v>5</v>
      </c>
    </row>
    <row r="206" spans="1:14">
      <c r="A206" s="11">
        <v>46157</v>
      </c>
      <c r="B206" s="11" t="s">
        <v>871</v>
      </c>
      <c r="D206" t="s">
        <v>8</v>
      </c>
      <c r="E206" t="s">
        <v>1218</v>
      </c>
      <c r="F206" t="s">
        <v>373</v>
      </c>
      <c r="I206" s="3" t="s">
        <v>5</v>
      </c>
    </row>
    <row r="207" spans="1:14">
      <c r="A207" s="11">
        <v>46157</v>
      </c>
      <c r="B207" s="11" t="s">
        <v>871</v>
      </c>
      <c r="D207" t="s">
        <v>2</v>
      </c>
      <c r="E207" t="s">
        <v>1217</v>
      </c>
      <c r="F207" t="s">
        <v>1216</v>
      </c>
      <c r="N207" t="s">
        <v>1201</v>
      </c>
    </row>
    <row r="208" spans="1:14">
      <c r="A208" s="11">
        <v>46157</v>
      </c>
      <c r="B208" s="11" t="s">
        <v>871</v>
      </c>
      <c r="D208" t="s">
        <v>2</v>
      </c>
      <c r="E208" t="s">
        <v>1203</v>
      </c>
      <c r="F208" t="s">
        <v>436</v>
      </c>
      <c r="I208" s="3" t="s">
        <v>5</v>
      </c>
      <c r="K208" s="3" t="s">
        <v>5</v>
      </c>
    </row>
    <row r="209" spans="1:14">
      <c r="A209" s="11">
        <v>46157</v>
      </c>
      <c r="B209" s="11" t="s">
        <v>871</v>
      </c>
      <c r="D209" t="s">
        <v>8</v>
      </c>
      <c r="E209" t="s">
        <v>1214</v>
      </c>
      <c r="F209" t="s">
        <v>584</v>
      </c>
      <c r="I209" s="3" t="s">
        <v>5</v>
      </c>
    </row>
    <row r="210" spans="1:14">
      <c r="A210" s="11">
        <v>46157</v>
      </c>
      <c r="B210" s="11" t="s">
        <v>871</v>
      </c>
      <c r="D210" t="s">
        <v>0</v>
      </c>
      <c r="E210" t="s">
        <v>1213</v>
      </c>
      <c r="F210" t="s">
        <v>499</v>
      </c>
      <c r="I210" s="3" t="s">
        <v>5</v>
      </c>
      <c r="L210" s="3" t="s">
        <v>5</v>
      </c>
    </row>
    <row r="211" spans="1:14">
      <c r="A211" s="11">
        <v>46156</v>
      </c>
      <c r="B211" s="11" t="s">
        <v>871</v>
      </c>
      <c r="D211" t="s">
        <v>0</v>
      </c>
      <c r="E211" t="s">
        <v>1191</v>
      </c>
      <c r="F211" t="s">
        <v>577</v>
      </c>
    </row>
    <row r="212" spans="1:14">
      <c r="A212" s="11">
        <v>46156</v>
      </c>
      <c r="B212" s="11" t="s">
        <v>871</v>
      </c>
      <c r="D212" t="s">
        <v>8</v>
      </c>
      <c r="E212" t="s">
        <v>1210</v>
      </c>
      <c r="F212" t="s">
        <v>318</v>
      </c>
      <c r="N212" t="s">
        <v>1219</v>
      </c>
    </row>
    <row r="213" spans="1:14">
      <c r="A213" s="11">
        <v>46156</v>
      </c>
      <c r="B213" s="11" t="s">
        <v>871</v>
      </c>
      <c r="D213" t="s">
        <v>0</v>
      </c>
      <c r="E213" t="s">
        <v>1208</v>
      </c>
      <c r="F213" t="s">
        <v>635</v>
      </c>
      <c r="M213" s="3" t="s">
        <v>5</v>
      </c>
      <c r="N213" t="s">
        <v>1209</v>
      </c>
    </row>
    <row r="214" spans="1:14">
      <c r="A214" s="11">
        <v>46156</v>
      </c>
      <c r="B214" s="11" t="s">
        <v>871</v>
      </c>
      <c r="D214" t="s">
        <v>0</v>
      </c>
      <c r="E214" t="s">
        <v>1206</v>
      </c>
      <c r="F214" t="s">
        <v>487</v>
      </c>
      <c r="L214" s="3" t="s">
        <v>5</v>
      </c>
    </row>
    <row r="215" spans="1:14">
      <c r="A215" s="11">
        <v>46155</v>
      </c>
      <c r="B215" s="11" t="s">
        <v>871</v>
      </c>
      <c r="D215" t="s">
        <v>2</v>
      </c>
      <c r="E215" t="s">
        <v>1207</v>
      </c>
      <c r="F215" t="s">
        <v>847</v>
      </c>
      <c r="G215" s="3" t="s">
        <v>5</v>
      </c>
    </row>
    <row r="216" spans="1:14">
      <c r="A216" s="11">
        <v>46155</v>
      </c>
      <c r="B216" s="11" t="s">
        <v>871</v>
      </c>
      <c r="D216" t="s">
        <v>2</v>
      </c>
      <c r="E216" t="s">
        <v>919</v>
      </c>
      <c r="F216" t="s">
        <v>821</v>
      </c>
      <c r="I216" s="3" t="s">
        <v>5</v>
      </c>
    </row>
    <row r="217" spans="1:14">
      <c r="A217" s="11">
        <v>46155</v>
      </c>
      <c r="B217" s="11" t="s">
        <v>871</v>
      </c>
      <c r="C217" s="11">
        <v>46156</v>
      </c>
      <c r="D217" t="s">
        <v>2</v>
      </c>
      <c r="E217" t="s">
        <v>1205</v>
      </c>
      <c r="F217" t="s">
        <v>97</v>
      </c>
    </row>
    <row r="218" spans="1:14">
      <c r="A218" s="11">
        <v>46155</v>
      </c>
      <c r="B218" s="11" t="s">
        <v>871</v>
      </c>
      <c r="D218" t="s">
        <v>0</v>
      </c>
      <c r="E218" t="s">
        <v>1204</v>
      </c>
      <c r="F218" t="s">
        <v>386</v>
      </c>
      <c r="I218" s="3" t="s">
        <v>5</v>
      </c>
    </row>
    <row r="219" spans="1:14">
      <c r="A219" s="11">
        <v>46155</v>
      </c>
      <c r="B219" s="11" t="s">
        <v>871</v>
      </c>
      <c r="D219" t="s">
        <v>2</v>
      </c>
      <c r="E219" t="s">
        <v>1203</v>
      </c>
      <c r="F219" t="s">
        <v>436</v>
      </c>
      <c r="L219" s="3" t="s">
        <v>5</v>
      </c>
    </row>
    <row r="220" spans="1:14">
      <c r="A220" s="11">
        <v>46155</v>
      </c>
      <c r="B220" s="11" t="s">
        <v>871</v>
      </c>
      <c r="D220" t="s">
        <v>2</v>
      </c>
      <c r="E220" t="s">
        <v>1148</v>
      </c>
      <c r="F220" t="s">
        <v>487</v>
      </c>
      <c r="N220" t="s">
        <v>1215</v>
      </c>
    </row>
    <row r="221" spans="1:14">
      <c r="A221" s="11">
        <v>46153</v>
      </c>
      <c r="B221" s="11" t="s">
        <v>871</v>
      </c>
      <c r="D221" t="s">
        <v>2</v>
      </c>
      <c r="E221" t="s">
        <v>1199</v>
      </c>
      <c r="F221" t="s">
        <v>747</v>
      </c>
    </row>
    <row r="222" spans="1:14">
      <c r="A222" s="11">
        <v>46153</v>
      </c>
      <c r="B222" s="11" t="s">
        <v>871</v>
      </c>
      <c r="D222" t="s">
        <v>0</v>
      </c>
      <c r="E222" t="s">
        <v>1198</v>
      </c>
      <c r="F222" t="s">
        <v>301</v>
      </c>
      <c r="N222" t="s">
        <v>1201</v>
      </c>
    </row>
    <row r="223" spans="1:14">
      <c r="A223" s="11">
        <v>46153</v>
      </c>
      <c r="B223" s="11" t="s">
        <v>871</v>
      </c>
      <c r="D223" t="s">
        <v>2</v>
      </c>
      <c r="E223" t="s">
        <v>993</v>
      </c>
      <c r="F223" t="s">
        <v>264</v>
      </c>
      <c r="N223" t="s">
        <v>1197</v>
      </c>
    </row>
    <row r="224" spans="1:14">
      <c r="A224" s="11">
        <v>46153</v>
      </c>
      <c r="B224" s="11" t="s">
        <v>871</v>
      </c>
      <c r="D224" t="s">
        <v>2</v>
      </c>
      <c r="E224" t="s">
        <v>1196</v>
      </c>
      <c r="F224" t="s">
        <v>125</v>
      </c>
      <c r="L224" s="3" t="s">
        <v>5</v>
      </c>
    </row>
    <row r="225" spans="1:14">
      <c r="A225" s="11">
        <v>46153</v>
      </c>
      <c r="B225" s="11" t="s">
        <v>871</v>
      </c>
      <c r="D225" t="s">
        <v>2</v>
      </c>
      <c r="E225" t="s">
        <v>1195</v>
      </c>
      <c r="F225" t="s">
        <v>97</v>
      </c>
      <c r="N225" t="s">
        <v>1202</v>
      </c>
    </row>
    <row r="226" spans="1:14">
      <c r="A226" s="11">
        <v>46153</v>
      </c>
      <c r="B226" s="11" t="s">
        <v>882</v>
      </c>
      <c r="D226" t="s">
        <v>8</v>
      </c>
      <c r="E226" t="s">
        <v>1194</v>
      </c>
      <c r="F226" t="s">
        <v>175</v>
      </c>
      <c r="I226" s="3" t="s">
        <v>5</v>
      </c>
      <c r="N226" t="s">
        <v>1201</v>
      </c>
    </row>
    <row r="227" spans="1:14">
      <c r="A227" s="11">
        <v>46153</v>
      </c>
      <c r="B227" s="11" t="s">
        <v>871</v>
      </c>
      <c r="D227" t="s">
        <v>8</v>
      </c>
      <c r="E227" t="s">
        <v>1193</v>
      </c>
      <c r="F227" t="s">
        <v>761</v>
      </c>
      <c r="I227" s="3" t="s">
        <v>5</v>
      </c>
    </row>
    <row r="228" spans="1:14">
      <c r="A228" s="11">
        <v>46149</v>
      </c>
      <c r="B228" s="11" t="s">
        <v>882</v>
      </c>
      <c r="D228" t="s">
        <v>0</v>
      </c>
      <c r="E228" t="s">
        <v>1192</v>
      </c>
      <c r="F228" t="s">
        <v>487</v>
      </c>
    </row>
    <row r="229" spans="1:14">
      <c r="A229" s="11">
        <v>46149</v>
      </c>
      <c r="B229" s="11" t="s">
        <v>871</v>
      </c>
      <c r="D229" t="s">
        <v>0</v>
      </c>
      <c r="E229" t="s">
        <v>1191</v>
      </c>
      <c r="F229" t="s">
        <v>577</v>
      </c>
      <c r="M229" s="3" t="s">
        <v>5</v>
      </c>
    </row>
    <row r="230" spans="1:14">
      <c r="A230" s="11">
        <v>46148</v>
      </c>
      <c r="B230" s="11" t="s">
        <v>871</v>
      </c>
      <c r="D230" t="s">
        <v>8</v>
      </c>
      <c r="E230" t="s">
        <v>938</v>
      </c>
      <c r="F230" t="s">
        <v>318</v>
      </c>
      <c r="I230" s="3" t="s">
        <v>5</v>
      </c>
    </row>
    <row r="231" spans="1:14">
      <c r="A231" s="11">
        <v>46148</v>
      </c>
      <c r="B231" s="11" t="s">
        <v>871</v>
      </c>
      <c r="D231" t="s">
        <v>8</v>
      </c>
      <c r="E231" t="s">
        <v>955</v>
      </c>
      <c r="F231" t="s">
        <v>592</v>
      </c>
      <c r="I231" s="3" t="s">
        <v>5</v>
      </c>
    </row>
    <row r="232" spans="1:14">
      <c r="A232" s="11">
        <v>46147</v>
      </c>
      <c r="B232" s="11" t="s">
        <v>871</v>
      </c>
      <c r="D232" t="s">
        <v>2</v>
      </c>
      <c r="E232" t="s">
        <v>1188</v>
      </c>
      <c r="F232" t="s">
        <v>653</v>
      </c>
      <c r="G232" s="3" t="s">
        <v>5</v>
      </c>
      <c r="I232" s="3" t="s">
        <v>5</v>
      </c>
      <c r="N232" t="s">
        <v>1189</v>
      </c>
    </row>
    <row r="233" spans="1:14">
      <c r="A233" s="11">
        <v>46147</v>
      </c>
      <c r="B233" s="11" t="s">
        <v>871</v>
      </c>
      <c r="D233" t="s">
        <v>2</v>
      </c>
      <c r="E233" t="s">
        <v>1186</v>
      </c>
      <c r="F233" t="s">
        <v>284</v>
      </c>
      <c r="I233" s="3" t="s">
        <v>5</v>
      </c>
    </row>
    <row r="234" spans="1:14">
      <c r="A234" s="11">
        <v>46147</v>
      </c>
      <c r="B234" s="11" t="s">
        <v>871</v>
      </c>
      <c r="D234" t="s">
        <v>8</v>
      </c>
      <c r="E234" t="s">
        <v>1084</v>
      </c>
      <c r="F234" t="s">
        <v>494</v>
      </c>
      <c r="I234" s="3" t="s">
        <v>5</v>
      </c>
    </row>
    <row r="235" spans="1:14">
      <c r="A235" s="11">
        <v>46147</v>
      </c>
      <c r="B235" s="11" t="s">
        <v>871</v>
      </c>
      <c r="D235" t="s">
        <v>2</v>
      </c>
      <c r="E235" t="s">
        <v>1185</v>
      </c>
      <c r="F235" t="s">
        <v>97</v>
      </c>
    </row>
    <row r="236" spans="1:14">
      <c r="A236" s="11">
        <v>46147</v>
      </c>
      <c r="B236" s="11" t="s">
        <v>871</v>
      </c>
      <c r="D236" t="s">
        <v>2</v>
      </c>
      <c r="E236" t="s">
        <v>1184</v>
      </c>
      <c r="F236" t="s">
        <v>125</v>
      </c>
    </row>
    <row r="237" spans="1:14">
      <c r="A237" s="11">
        <v>46146</v>
      </c>
      <c r="B237" s="11" t="s">
        <v>871</v>
      </c>
      <c r="D237" t="s">
        <v>0</v>
      </c>
      <c r="E237" t="s">
        <v>897</v>
      </c>
      <c r="F237" t="s">
        <v>100</v>
      </c>
      <c r="N237" t="s">
        <v>1183</v>
      </c>
    </row>
    <row r="238" spans="1:14">
      <c r="A238" s="11">
        <v>46141</v>
      </c>
      <c r="B238" s="11" t="s">
        <v>871</v>
      </c>
      <c r="D238" t="s">
        <v>0</v>
      </c>
      <c r="E238" t="s">
        <v>977</v>
      </c>
      <c r="F238" t="s">
        <v>269</v>
      </c>
      <c r="M238" s="3" t="s">
        <v>5</v>
      </c>
    </row>
    <row r="239" spans="1:14">
      <c r="A239" s="11">
        <v>46140</v>
      </c>
      <c r="B239" s="11" t="s">
        <v>871</v>
      </c>
      <c r="D239" t="s">
        <v>2</v>
      </c>
      <c r="E239" t="s">
        <v>1172</v>
      </c>
      <c r="F239" t="s">
        <v>653</v>
      </c>
      <c r="I239" s="3" t="s">
        <v>5</v>
      </c>
    </row>
    <row r="240" spans="1:14">
      <c r="A240" s="11">
        <v>46140</v>
      </c>
      <c r="B240" s="11" t="s">
        <v>871</v>
      </c>
      <c r="D240" t="s">
        <v>0</v>
      </c>
      <c r="E240" t="s">
        <v>1180</v>
      </c>
      <c r="F240" t="s">
        <v>195</v>
      </c>
      <c r="I240" s="3" t="s">
        <v>5</v>
      </c>
    </row>
    <row r="241" spans="1:14">
      <c r="A241" s="11">
        <v>46140</v>
      </c>
      <c r="B241" s="11" t="s">
        <v>871</v>
      </c>
      <c r="D241" t="s">
        <v>0</v>
      </c>
      <c r="E241" t="s">
        <v>1179</v>
      </c>
      <c r="F241" t="s">
        <v>578</v>
      </c>
    </row>
    <row r="242" spans="1:14">
      <c r="A242" s="11">
        <v>46139</v>
      </c>
      <c r="B242" s="11" t="s">
        <v>871</v>
      </c>
      <c r="D242" t="s">
        <v>8</v>
      </c>
      <c r="E242" t="s">
        <v>1178</v>
      </c>
      <c r="F242" t="s">
        <v>318</v>
      </c>
    </row>
    <row r="243" spans="1:14">
      <c r="A243" s="11">
        <v>46139</v>
      </c>
      <c r="B243" s="11" t="s">
        <v>871</v>
      </c>
      <c r="D243" t="s">
        <v>2</v>
      </c>
      <c r="E243" t="s">
        <v>1174</v>
      </c>
      <c r="F243" t="s">
        <v>1176</v>
      </c>
    </row>
    <row r="244" spans="1:14">
      <c r="A244" s="11">
        <v>46136</v>
      </c>
      <c r="B244" s="11" t="s">
        <v>871</v>
      </c>
      <c r="D244" t="s">
        <v>2</v>
      </c>
      <c r="E244" t="s">
        <v>1173</v>
      </c>
      <c r="F244" t="s">
        <v>265</v>
      </c>
    </row>
    <row r="245" spans="1:14">
      <c r="A245" s="11">
        <v>46136</v>
      </c>
      <c r="B245" s="11" t="s">
        <v>871</v>
      </c>
      <c r="D245" t="s">
        <v>2</v>
      </c>
      <c r="E245" t="s">
        <v>1172</v>
      </c>
      <c r="F245" t="s">
        <v>653</v>
      </c>
      <c r="I245" s="3" t="s">
        <v>5</v>
      </c>
    </row>
    <row r="246" spans="1:14">
      <c r="A246" s="11">
        <v>46135</v>
      </c>
      <c r="B246" s="11" t="s">
        <v>871</v>
      </c>
      <c r="D246" t="s">
        <v>0</v>
      </c>
      <c r="E246" t="s">
        <v>1168</v>
      </c>
      <c r="F246" t="s">
        <v>195</v>
      </c>
    </row>
    <row r="247" spans="1:14">
      <c r="A247" s="11">
        <v>46135</v>
      </c>
      <c r="B247" s="11" t="s">
        <v>871</v>
      </c>
      <c r="D247" t="s">
        <v>0</v>
      </c>
      <c r="E247" t="s">
        <v>1165</v>
      </c>
      <c r="F247" t="s">
        <v>577</v>
      </c>
    </row>
    <row r="248" spans="1:14">
      <c r="A248" s="11">
        <v>46134</v>
      </c>
      <c r="B248" s="11" t="s">
        <v>871</v>
      </c>
      <c r="D248" t="s">
        <v>0</v>
      </c>
      <c r="E248" t="s">
        <v>1165</v>
      </c>
      <c r="F248" t="s">
        <v>577</v>
      </c>
    </row>
    <row r="249" spans="1:14">
      <c r="A249" s="11">
        <v>46134</v>
      </c>
      <c r="B249" s="11" t="s">
        <v>871</v>
      </c>
      <c r="D249" t="s">
        <v>2</v>
      </c>
      <c r="E249" t="s">
        <v>61</v>
      </c>
      <c r="F249" t="s">
        <v>620</v>
      </c>
      <c r="L249" s="3" t="s">
        <v>5</v>
      </c>
    </row>
    <row r="250" spans="1:14">
      <c r="A250" s="11">
        <v>46134</v>
      </c>
      <c r="B250" s="11" t="s">
        <v>871</v>
      </c>
      <c r="D250" t="s">
        <v>8</v>
      </c>
      <c r="E250" t="s">
        <v>1164</v>
      </c>
      <c r="F250" t="s">
        <v>747</v>
      </c>
    </row>
    <row r="251" spans="1:14">
      <c r="A251" s="11">
        <v>46134</v>
      </c>
      <c r="B251" s="11" t="s">
        <v>871</v>
      </c>
      <c r="D251" t="s">
        <v>0</v>
      </c>
      <c r="E251" t="s">
        <v>1161</v>
      </c>
      <c r="F251" t="s">
        <v>705</v>
      </c>
    </row>
    <row r="252" spans="1:14">
      <c r="A252" s="11">
        <v>46133</v>
      </c>
      <c r="B252" s="11" t="s">
        <v>871</v>
      </c>
      <c r="D252" t="s">
        <v>0</v>
      </c>
      <c r="E252" t="s">
        <v>1091</v>
      </c>
      <c r="F252" t="s">
        <v>760</v>
      </c>
      <c r="N252" t="s">
        <v>1162</v>
      </c>
    </row>
    <row r="253" spans="1:14">
      <c r="A253" s="11">
        <v>46133</v>
      </c>
      <c r="B253" s="11" t="s">
        <v>871</v>
      </c>
      <c r="D253" t="s">
        <v>0</v>
      </c>
      <c r="E253" t="s">
        <v>1161</v>
      </c>
      <c r="F253" t="s">
        <v>705</v>
      </c>
    </row>
    <row r="254" spans="1:14">
      <c r="A254" s="11">
        <v>46133</v>
      </c>
      <c r="B254" s="11" t="s">
        <v>871</v>
      </c>
      <c r="D254" t="s">
        <v>0</v>
      </c>
      <c r="E254" t="s">
        <v>1160</v>
      </c>
      <c r="F254" t="s">
        <v>635</v>
      </c>
      <c r="N254" t="s">
        <v>1169</v>
      </c>
    </row>
    <row r="255" spans="1:14">
      <c r="A255" s="11">
        <v>46133</v>
      </c>
      <c r="B255" s="11" t="s">
        <v>871</v>
      </c>
      <c r="D255" t="s">
        <v>0</v>
      </c>
      <c r="E255" t="s">
        <v>1159</v>
      </c>
      <c r="F255" t="s">
        <v>499</v>
      </c>
    </row>
    <row r="256" spans="1:14">
      <c r="A256" s="11">
        <v>46133</v>
      </c>
      <c r="B256" s="11" t="s">
        <v>871</v>
      </c>
      <c r="D256" t="s">
        <v>0</v>
      </c>
      <c r="E256" t="s">
        <v>1091</v>
      </c>
      <c r="F256" t="s">
        <v>760</v>
      </c>
      <c r="N256" t="s">
        <v>1156</v>
      </c>
    </row>
    <row r="257" spans="1:14">
      <c r="A257" s="11">
        <v>46133</v>
      </c>
      <c r="B257" s="11" t="s">
        <v>871</v>
      </c>
      <c r="D257" t="s">
        <v>0</v>
      </c>
      <c r="E257" t="s">
        <v>1155</v>
      </c>
      <c r="F257" t="s">
        <v>71</v>
      </c>
    </row>
    <row r="258" spans="1:14">
      <c r="A258" s="11">
        <v>46133</v>
      </c>
      <c r="B258" s="11" t="s">
        <v>871</v>
      </c>
      <c r="D258" t="s">
        <v>2</v>
      </c>
      <c r="E258" t="s">
        <v>899</v>
      </c>
      <c r="F258" t="s">
        <v>475</v>
      </c>
      <c r="N258" t="s">
        <v>1154</v>
      </c>
    </row>
    <row r="259" spans="1:14">
      <c r="A259" s="11">
        <v>46133</v>
      </c>
      <c r="B259" s="11" t="s">
        <v>871</v>
      </c>
      <c r="D259" t="s">
        <v>8</v>
      </c>
      <c r="E259" t="s">
        <v>955</v>
      </c>
      <c r="F259" t="s">
        <v>296</v>
      </c>
      <c r="I259" s="3" t="s">
        <v>5</v>
      </c>
    </row>
    <row r="260" spans="1:14">
      <c r="A260" s="11">
        <v>46132</v>
      </c>
      <c r="B260" s="11" t="s">
        <v>871</v>
      </c>
      <c r="D260" t="s">
        <v>0</v>
      </c>
      <c r="E260" t="s">
        <v>6</v>
      </c>
      <c r="F260" t="s">
        <v>577</v>
      </c>
      <c r="N260" t="s">
        <v>1158</v>
      </c>
    </row>
    <row r="261" spans="1:14">
      <c r="A261" s="11">
        <v>46132</v>
      </c>
      <c r="B261" s="11" t="s">
        <v>870</v>
      </c>
      <c r="D261" t="s">
        <v>0</v>
      </c>
      <c r="E261" t="s">
        <v>6</v>
      </c>
      <c r="F261" t="s">
        <v>577</v>
      </c>
      <c r="N261" t="s">
        <v>1241</v>
      </c>
    </row>
    <row r="262" spans="1:14">
      <c r="A262" s="11">
        <v>46132</v>
      </c>
      <c r="B262" s="11" t="s">
        <v>871</v>
      </c>
      <c r="D262" t="s">
        <v>2</v>
      </c>
      <c r="E262" t="s">
        <v>1151</v>
      </c>
      <c r="F262" t="s">
        <v>125</v>
      </c>
      <c r="I262" s="3" t="s">
        <v>5</v>
      </c>
    </row>
    <row r="263" spans="1:14">
      <c r="A263" s="11">
        <v>46132</v>
      </c>
      <c r="B263" s="11" t="s">
        <v>871</v>
      </c>
      <c r="D263" t="s">
        <v>0</v>
      </c>
      <c r="E263" t="s">
        <v>54</v>
      </c>
      <c r="F263" t="s">
        <v>487</v>
      </c>
      <c r="H263" s="3" t="s">
        <v>5</v>
      </c>
      <c r="N263" t="s">
        <v>1157</v>
      </c>
    </row>
    <row r="264" spans="1:14">
      <c r="A264" s="11">
        <v>46132</v>
      </c>
      <c r="B264" s="11" t="s">
        <v>871</v>
      </c>
      <c r="D264" t="s">
        <v>2</v>
      </c>
      <c r="E264" t="s">
        <v>1147</v>
      </c>
      <c r="F264" t="s">
        <v>811</v>
      </c>
      <c r="N264" t="s">
        <v>1153</v>
      </c>
    </row>
    <row r="265" spans="1:14">
      <c r="A265" s="11">
        <v>46132</v>
      </c>
      <c r="B265" s="11" t="s">
        <v>871</v>
      </c>
      <c r="D265" t="s">
        <v>0</v>
      </c>
      <c r="E265" t="s">
        <v>1146</v>
      </c>
      <c r="F265" t="s">
        <v>705</v>
      </c>
      <c r="I265" s="3" t="s">
        <v>5</v>
      </c>
    </row>
    <row r="266" spans="1:14">
      <c r="A266" s="11">
        <v>46129</v>
      </c>
      <c r="B266" s="11" t="s">
        <v>871</v>
      </c>
      <c r="D266" t="s">
        <v>2</v>
      </c>
      <c r="E266" t="s">
        <v>1148</v>
      </c>
      <c r="F266" t="s">
        <v>487</v>
      </c>
    </row>
    <row r="267" spans="1:14">
      <c r="A267" s="11">
        <v>46129</v>
      </c>
      <c r="B267" s="11" t="s">
        <v>871</v>
      </c>
      <c r="D267" t="s">
        <v>2</v>
      </c>
      <c r="E267" t="s">
        <v>919</v>
      </c>
      <c r="F267" t="s">
        <v>821</v>
      </c>
      <c r="I267" s="3" t="s">
        <v>5</v>
      </c>
    </row>
    <row r="268" spans="1:14">
      <c r="A268" s="11">
        <v>46129</v>
      </c>
      <c r="B268" s="11" t="s">
        <v>871</v>
      </c>
      <c r="D268" t="s">
        <v>2</v>
      </c>
      <c r="E268" t="s">
        <v>1145</v>
      </c>
      <c r="F268" t="s">
        <v>812</v>
      </c>
    </row>
    <row r="269" spans="1:14">
      <c r="A269" s="11">
        <v>46129</v>
      </c>
      <c r="B269" s="11" t="s">
        <v>871</v>
      </c>
      <c r="D269" t="s">
        <v>0</v>
      </c>
      <c r="E269" t="s">
        <v>7</v>
      </c>
      <c r="F269" t="s">
        <v>577</v>
      </c>
    </row>
    <row r="270" spans="1:14">
      <c r="A270" s="11">
        <v>46129</v>
      </c>
      <c r="B270" s="11" t="s">
        <v>871</v>
      </c>
      <c r="D270" t="s">
        <v>2</v>
      </c>
      <c r="E270" t="s">
        <v>1143</v>
      </c>
      <c r="F270" t="s">
        <v>820</v>
      </c>
      <c r="N270" t="s">
        <v>1144</v>
      </c>
    </row>
    <row r="271" spans="1:14">
      <c r="A271" s="11">
        <v>46128</v>
      </c>
      <c r="B271" s="11" t="s">
        <v>871</v>
      </c>
      <c r="D271" t="s">
        <v>2</v>
      </c>
      <c r="E271" t="s">
        <v>1030</v>
      </c>
      <c r="F271" t="s">
        <v>747</v>
      </c>
    </row>
    <row r="272" spans="1:14">
      <c r="A272" s="11">
        <v>46128</v>
      </c>
      <c r="B272" s="11" t="s">
        <v>871</v>
      </c>
      <c r="D272" t="s">
        <v>2</v>
      </c>
      <c r="E272" t="s">
        <v>952</v>
      </c>
      <c r="F272" t="s">
        <v>760</v>
      </c>
    </row>
    <row r="273" spans="1:14">
      <c r="A273" s="11">
        <v>46128</v>
      </c>
      <c r="B273" s="11" t="s">
        <v>871</v>
      </c>
      <c r="C273" s="11">
        <v>46134</v>
      </c>
      <c r="D273" t="s">
        <v>0</v>
      </c>
      <c r="E273" t="s">
        <v>1141</v>
      </c>
      <c r="F273" t="s">
        <v>720</v>
      </c>
    </row>
    <row r="274" spans="1:14">
      <c r="A274" s="11">
        <v>46128</v>
      </c>
      <c r="B274" s="11" t="s">
        <v>871</v>
      </c>
      <c r="D274" t="s">
        <v>2</v>
      </c>
      <c r="E274" t="s">
        <v>1140</v>
      </c>
      <c r="F274" t="s">
        <v>125</v>
      </c>
      <c r="I274" s="3" t="s">
        <v>5</v>
      </c>
    </row>
    <row r="275" spans="1:14">
      <c r="A275" s="11">
        <v>46128</v>
      </c>
      <c r="B275" s="11" t="s">
        <v>871</v>
      </c>
      <c r="D275" t="s">
        <v>2</v>
      </c>
      <c r="E275" t="s">
        <v>1139</v>
      </c>
      <c r="F275" t="s">
        <v>125</v>
      </c>
      <c r="L275" s="3" t="s">
        <v>5</v>
      </c>
    </row>
    <row r="276" spans="1:14">
      <c r="A276" s="11">
        <v>46127</v>
      </c>
      <c r="B276" s="11" t="s">
        <v>871</v>
      </c>
      <c r="D276" t="s">
        <v>2</v>
      </c>
      <c r="E276" t="s">
        <v>1108</v>
      </c>
      <c r="F276" t="s">
        <v>97</v>
      </c>
      <c r="L276" s="3" t="s">
        <v>5</v>
      </c>
    </row>
    <row r="277" spans="1:14">
      <c r="A277" s="11">
        <v>46127</v>
      </c>
      <c r="B277" s="11" t="s">
        <v>871</v>
      </c>
      <c r="D277" t="s">
        <v>2</v>
      </c>
      <c r="E277" t="s">
        <v>1138</v>
      </c>
      <c r="F277" t="s">
        <v>747</v>
      </c>
    </row>
    <row r="278" spans="1:14">
      <c r="A278" s="11">
        <v>46127</v>
      </c>
      <c r="B278" s="11" t="s">
        <v>881</v>
      </c>
      <c r="D278" t="s">
        <v>0</v>
      </c>
      <c r="E278" t="s">
        <v>1135</v>
      </c>
      <c r="F278" t="s">
        <v>592</v>
      </c>
    </row>
    <row r="279" spans="1:14">
      <c r="A279" s="11">
        <v>46127</v>
      </c>
      <c r="B279" s="11" t="s">
        <v>871</v>
      </c>
      <c r="D279" t="s">
        <v>0</v>
      </c>
      <c r="E279" t="s">
        <v>1006</v>
      </c>
      <c r="F279" t="s">
        <v>269</v>
      </c>
    </row>
    <row r="280" spans="1:14">
      <c r="A280" s="11">
        <v>46127</v>
      </c>
      <c r="B280" s="11" t="s">
        <v>871</v>
      </c>
      <c r="D280" t="s">
        <v>0</v>
      </c>
      <c r="E280" t="s">
        <v>1132</v>
      </c>
      <c r="F280" t="s">
        <v>635</v>
      </c>
    </row>
    <row r="281" spans="1:14">
      <c r="A281" s="11">
        <v>46125</v>
      </c>
      <c r="B281" s="11" t="s">
        <v>871</v>
      </c>
      <c r="D281" t="s">
        <v>2</v>
      </c>
      <c r="E281" t="s">
        <v>1133</v>
      </c>
      <c r="F281" t="s">
        <v>1134</v>
      </c>
    </row>
    <row r="282" spans="1:14">
      <c r="A282" s="11">
        <v>46126</v>
      </c>
      <c r="B282" s="11" t="s">
        <v>871</v>
      </c>
      <c r="D282" t="s">
        <v>0</v>
      </c>
      <c r="E282" t="s">
        <v>1132</v>
      </c>
      <c r="F282" t="s">
        <v>635</v>
      </c>
      <c r="K282" s="3" t="s">
        <v>5</v>
      </c>
    </row>
    <row r="283" spans="1:14">
      <c r="A283" s="11">
        <v>46125</v>
      </c>
      <c r="B283" s="11" t="s">
        <v>871</v>
      </c>
      <c r="D283" t="s">
        <v>2</v>
      </c>
      <c r="E283" t="s">
        <v>1100</v>
      </c>
      <c r="F283" t="s">
        <v>708</v>
      </c>
      <c r="I283" s="3" t="s">
        <v>5</v>
      </c>
    </row>
    <row r="284" spans="1:14">
      <c r="A284" s="11">
        <v>46122</v>
      </c>
      <c r="B284" s="11" t="s">
        <v>871</v>
      </c>
      <c r="D284" t="s">
        <v>2</v>
      </c>
      <c r="E284" t="s">
        <v>1044</v>
      </c>
      <c r="F284" t="s">
        <v>264</v>
      </c>
      <c r="L284" s="3" t="s">
        <v>5</v>
      </c>
    </row>
    <row r="285" spans="1:14">
      <c r="A285" s="11">
        <v>46122</v>
      </c>
      <c r="B285" s="11" t="s">
        <v>871</v>
      </c>
      <c r="D285" t="s">
        <v>8</v>
      </c>
      <c r="E285" t="s">
        <v>1129</v>
      </c>
      <c r="F285" t="s">
        <v>584</v>
      </c>
      <c r="I285" s="3" t="s">
        <v>5</v>
      </c>
    </row>
    <row r="286" spans="1:14">
      <c r="A286" s="11">
        <v>46121</v>
      </c>
      <c r="B286" s="11" t="s">
        <v>871</v>
      </c>
      <c r="D286" t="s">
        <v>0</v>
      </c>
      <c r="E286" t="s">
        <v>1127</v>
      </c>
      <c r="F286" t="s">
        <v>499</v>
      </c>
      <c r="I286" s="3" t="s">
        <v>5</v>
      </c>
      <c r="N286" t="s">
        <v>1128</v>
      </c>
    </row>
    <row r="287" spans="1:14">
      <c r="A287" s="11">
        <v>46121</v>
      </c>
      <c r="B287" s="11" t="s">
        <v>871</v>
      </c>
      <c r="D287" t="s">
        <v>0</v>
      </c>
      <c r="E287" t="s">
        <v>65</v>
      </c>
      <c r="F287" t="s">
        <v>760</v>
      </c>
      <c r="N287" t="s">
        <v>1126</v>
      </c>
    </row>
    <row r="288" spans="1:14">
      <c r="A288" s="11">
        <v>46121</v>
      </c>
      <c r="B288" s="11" t="s">
        <v>871</v>
      </c>
      <c r="D288" t="s">
        <v>0</v>
      </c>
      <c r="E288" t="s">
        <v>897</v>
      </c>
      <c r="F288" t="s">
        <v>702</v>
      </c>
      <c r="G288" s="3" t="s">
        <v>5</v>
      </c>
      <c r="N288" t="s">
        <v>1125</v>
      </c>
    </row>
    <row r="289" spans="1:14">
      <c r="A289" s="11">
        <v>46121</v>
      </c>
      <c r="B289" s="11" t="s">
        <v>871</v>
      </c>
      <c r="D289" t="s">
        <v>8</v>
      </c>
      <c r="E289" t="s">
        <v>1124</v>
      </c>
      <c r="F289" t="s">
        <v>183</v>
      </c>
    </row>
    <row r="290" spans="1:14">
      <c r="A290" s="11">
        <v>46121</v>
      </c>
      <c r="B290" s="11" t="s">
        <v>871</v>
      </c>
      <c r="D290" t="s">
        <v>8</v>
      </c>
      <c r="E290" t="s">
        <v>1123</v>
      </c>
      <c r="F290" t="s">
        <v>373</v>
      </c>
      <c r="I290" s="3" t="s">
        <v>5</v>
      </c>
    </row>
    <row r="291" spans="1:14">
      <c r="A291" s="11">
        <v>46121</v>
      </c>
      <c r="B291" s="11" t="s">
        <v>871</v>
      </c>
      <c r="D291" t="s">
        <v>2</v>
      </c>
      <c r="E291" t="s">
        <v>1119</v>
      </c>
      <c r="F291" t="s">
        <v>269</v>
      </c>
      <c r="I291" s="3" t="s">
        <v>5</v>
      </c>
      <c r="N291" t="s">
        <v>1122</v>
      </c>
    </row>
    <row r="292" spans="1:14">
      <c r="A292" s="11">
        <v>46121</v>
      </c>
      <c r="B292" s="11" t="s">
        <v>871</v>
      </c>
      <c r="D292" t="s">
        <v>0</v>
      </c>
      <c r="E292" t="s">
        <v>1121</v>
      </c>
      <c r="F292" t="s">
        <v>196</v>
      </c>
      <c r="I292" s="3" t="s">
        <v>5</v>
      </c>
    </row>
    <row r="293" spans="1:14">
      <c r="A293" s="11">
        <v>46120</v>
      </c>
      <c r="B293" s="11" t="s">
        <v>871</v>
      </c>
      <c r="D293" t="s">
        <v>0</v>
      </c>
      <c r="E293" t="s">
        <v>1091</v>
      </c>
      <c r="F293" t="s">
        <v>760</v>
      </c>
      <c r="H293" s="3" t="s">
        <v>5</v>
      </c>
      <c r="I293" s="3" t="s">
        <v>5</v>
      </c>
      <c r="K293" s="3" t="s">
        <v>5</v>
      </c>
    </row>
    <row r="294" spans="1:14">
      <c r="A294" s="11">
        <v>46120</v>
      </c>
      <c r="B294" s="11" t="s">
        <v>882</v>
      </c>
      <c r="D294" t="s">
        <v>0</v>
      </c>
      <c r="E294" t="s">
        <v>1117</v>
      </c>
      <c r="F294" t="s">
        <v>577</v>
      </c>
      <c r="H294" s="3" t="s">
        <v>5</v>
      </c>
      <c r="I294" s="3" t="s">
        <v>5</v>
      </c>
      <c r="M294" s="3" t="s">
        <v>5</v>
      </c>
      <c r="N294" t="s">
        <v>1130</v>
      </c>
    </row>
    <row r="295" spans="1:14">
      <c r="A295" s="11">
        <v>46120</v>
      </c>
      <c r="B295" s="11" t="s">
        <v>871</v>
      </c>
      <c r="D295" t="s">
        <v>2</v>
      </c>
      <c r="E295" t="s">
        <v>1093</v>
      </c>
      <c r="F295" t="s">
        <v>811</v>
      </c>
      <c r="L295" s="3" t="s">
        <v>5</v>
      </c>
    </row>
    <row r="296" spans="1:14">
      <c r="A296" s="11">
        <v>46120</v>
      </c>
      <c r="B296" s="11" t="s">
        <v>871</v>
      </c>
      <c r="D296" t="s">
        <v>2</v>
      </c>
      <c r="E296" t="s">
        <v>1116</v>
      </c>
      <c r="F296" t="s">
        <v>97</v>
      </c>
    </row>
    <row r="297" spans="1:14">
      <c r="A297" s="11">
        <v>46119</v>
      </c>
      <c r="B297" s="11" t="s">
        <v>871</v>
      </c>
      <c r="D297" t="s">
        <v>2</v>
      </c>
      <c r="E297" t="s">
        <v>982</v>
      </c>
      <c r="F297" t="s">
        <v>653</v>
      </c>
      <c r="L297" s="3" t="s">
        <v>5</v>
      </c>
    </row>
    <row r="298" spans="1:14">
      <c r="A298" s="11">
        <v>46119</v>
      </c>
      <c r="B298" s="11" t="s">
        <v>871</v>
      </c>
      <c r="D298" t="s">
        <v>0</v>
      </c>
      <c r="E298" t="s">
        <v>1115</v>
      </c>
      <c r="F298" t="s">
        <v>592</v>
      </c>
    </row>
    <row r="299" spans="1:14">
      <c r="A299" s="11">
        <v>46118</v>
      </c>
      <c r="B299" s="11" t="s">
        <v>871</v>
      </c>
      <c r="D299" t="s">
        <v>2</v>
      </c>
      <c r="E299" t="s">
        <v>1113</v>
      </c>
      <c r="F299" t="s">
        <v>1112</v>
      </c>
    </row>
    <row r="300" spans="1:14">
      <c r="A300" s="11">
        <v>46114</v>
      </c>
      <c r="B300" s="11" t="s">
        <v>871</v>
      </c>
      <c r="D300" t="s">
        <v>2</v>
      </c>
      <c r="E300" t="s">
        <v>1111</v>
      </c>
      <c r="F300" t="s">
        <v>97</v>
      </c>
    </row>
    <row r="301" spans="1:14">
      <c r="A301" s="11">
        <v>46118</v>
      </c>
      <c r="B301" s="11" t="s">
        <v>871</v>
      </c>
      <c r="D301" t="s">
        <v>2</v>
      </c>
      <c r="E301" t="s">
        <v>926</v>
      </c>
      <c r="F301" t="s">
        <v>475</v>
      </c>
      <c r="N301" t="s">
        <v>1110</v>
      </c>
    </row>
    <row r="302" spans="1:14">
      <c r="A302" s="11">
        <v>46114</v>
      </c>
      <c r="B302" s="11" t="s">
        <v>871</v>
      </c>
      <c r="D302" t="s">
        <v>2</v>
      </c>
      <c r="E302" t="s">
        <v>1109</v>
      </c>
      <c r="F302" t="s">
        <v>97</v>
      </c>
    </row>
    <row r="303" spans="1:14">
      <c r="A303" s="11">
        <v>46114</v>
      </c>
      <c r="B303" s="11" t="s">
        <v>871</v>
      </c>
      <c r="D303" t="s">
        <v>2</v>
      </c>
      <c r="E303" t="s">
        <v>1108</v>
      </c>
      <c r="F303" t="s">
        <v>97</v>
      </c>
      <c r="G303" s="3" t="s">
        <v>5</v>
      </c>
    </row>
    <row r="304" spans="1:14">
      <c r="A304" s="11">
        <v>46113</v>
      </c>
      <c r="B304" s="11" t="s">
        <v>871</v>
      </c>
      <c r="D304" t="s">
        <v>0</v>
      </c>
      <c r="E304" t="s">
        <v>1091</v>
      </c>
      <c r="F304" t="s">
        <v>760</v>
      </c>
      <c r="N304" t="s">
        <v>1105</v>
      </c>
    </row>
    <row r="305" spans="1:14">
      <c r="A305" s="11">
        <v>46113</v>
      </c>
      <c r="B305" s="11" t="s">
        <v>871</v>
      </c>
      <c r="D305" t="s">
        <v>0</v>
      </c>
      <c r="E305" t="s">
        <v>1104</v>
      </c>
      <c r="F305" t="s">
        <v>635</v>
      </c>
      <c r="I305" s="3" t="s">
        <v>5</v>
      </c>
    </row>
    <row r="306" spans="1:14">
      <c r="A306" s="11">
        <v>46113</v>
      </c>
      <c r="B306" s="11" t="s">
        <v>871</v>
      </c>
      <c r="D306" t="s">
        <v>0</v>
      </c>
      <c r="E306" t="s">
        <v>897</v>
      </c>
      <c r="F306" t="s">
        <v>776</v>
      </c>
      <c r="I306" s="3" t="s">
        <v>5</v>
      </c>
    </row>
    <row r="307" spans="1:14">
      <c r="A307" s="11">
        <v>46113</v>
      </c>
      <c r="B307" s="11" t="s">
        <v>871</v>
      </c>
      <c r="D307" t="s">
        <v>0</v>
      </c>
      <c r="E307" t="s">
        <v>9</v>
      </c>
      <c r="F307" t="s">
        <v>138</v>
      </c>
    </row>
    <row r="308" spans="1:14">
      <c r="A308" s="11">
        <v>46112</v>
      </c>
      <c r="B308" s="11" t="s">
        <v>871</v>
      </c>
      <c r="D308" t="s">
        <v>2</v>
      </c>
      <c r="E308" t="s">
        <v>14</v>
      </c>
      <c r="F308" t="s">
        <v>557</v>
      </c>
      <c r="N308" t="s">
        <v>1102</v>
      </c>
    </row>
    <row r="309" spans="1:14">
      <c r="A309" s="11">
        <v>46112</v>
      </c>
      <c r="B309" s="11" t="s">
        <v>871</v>
      </c>
      <c r="D309" t="s">
        <v>0</v>
      </c>
      <c r="E309" t="s">
        <v>897</v>
      </c>
      <c r="F309" t="s">
        <v>129</v>
      </c>
      <c r="N309" t="s">
        <v>1101</v>
      </c>
    </row>
    <row r="310" spans="1:14">
      <c r="A310" s="11">
        <v>46112</v>
      </c>
      <c r="B310" s="11" t="s">
        <v>871</v>
      </c>
      <c r="D310" t="s">
        <v>0</v>
      </c>
      <c r="E310" t="s">
        <v>1100</v>
      </c>
      <c r="F310" t="s">
        <v>857</v>
      </c>
      <c r="I310" s="3" t="s">
        <v>5</v>
      </c>
    </row>
    <row r="311" spans="1:14">
      <c r="A311" s="11">
        <v>46111</v>
      </c>
      <c r="B311" s="11" t="s">
        <v>871</v>
      </c>
      <c r="D311" t="s">
        <v>2</v>
      </c>
      <c r="E311" t="s">
        <v>926</v>
      </c>
      <c r="F311" t="s">
        <v>557</v>
      </c>
      <c r="G311" s="3" t="s">
        <v>5</v>
      </c>
      <c r="I311" s="3" t="s">
        <v>5</v>
      </c>
    </row>
    <row r="312" spans="1:14">
      <c r="A312" s="11">
        <v>46111</v>
      </c>
      <c r="B312" s="11" t="s">
        <v>871</v>
      </c>
      <c r="D312" t="s">
        <v>8</v>
      </c>
      <c r="E312" t="s">
        <v>1099</v>
      </c>
      <c r="F312" t="s">
        <v>487</v>
      </c>
      <c r="I312" s="3" t="s">
        <v>5</v>
      </c>
    </row>
    <row r="313" spans="1:14">
      <c r="A313" s="11">
        <v>46111</v>
      </c>
      <c r="B313" s="11" t="s">
        <v>871</v>
      </c>
      <c r="D313" t="s">
        <v>8</v>
      </c>
      <c r="E313" t="s">
        <v>1095</v>
      </c>
      <c r="F313" t="s">
        <v>130</v>
      </c>
      <c r="I313" s="3" t="s">
        <v>5</v>
      </c>
      <c r="N313" t="s">
        <v>1096</v>
      </c>
    </row>
    <row r="314" spans="1:14">
      <c r="A314" s="11">
        <v>46111</v>
      </c>
      <c r="B314" s="11" t="s">
        <v>871</v>
      </c>
      <c r="D314" t="s">
        <v>0</v>
      </c>
      <c r="E314" t="s">
        <v>897</v>
      </c>
      <c r="F314" t="s">
        <v>138</v>
      </c>
      <c r="N314" t="s">
        <v>1094</v>
      </c>
    </row>
    <row r="315" spans="1:14">
      <c r="A315" s="11">
        <v>46111</v>
      </c>
      <c r="B315" s="11" t="s">
        <v>871</v>
      </c>
      <c r="D315" t="s">
        <v>0</v>
      </c>
      <c r="E315" t="s">
        <v>974</v>
      </c>
      <c r="F315" t="s">
        <v>71</v>
      </c>
      <c r="L315" s="3" t="s">
        <v>5</v>
      </c>
    </row>
    <row r="316" spans="1:14">
      <c r="A316" s="11">
        <v>46110</v>
      </c>
      <c r="B316" s="11" t="s">
        <v>871</v>
      </c>
      <c r="D316" t="s">
        <v>2</v>
      </c>
      <c r="E316" t="s">
        <v>952</v>
      </c>
      <c r="F316" t="s">
        <v>747</v>
      </c>
      <c r="L316" s="3" t="s">
        <v>5</v>
      </c>
    </row>
    <row r="317" spans="1:14">
      <c r="A317" s="11">
        <v>46108</v>
      </c>
      <c r="B317" s="11" t="s">
        <v>871</v>
      </c>
      <c r="D317" t="s">
        <v>2</v>
      </c>
      <c r="E317" t="s">
        <v>1092</v>
      </c>
      <c r="F317" t="s">
        <v>97</v>
      </c>
      <c r="N317" t="s">
        <v>1098</v>
      </c>
    </row>
    <row r="318" spans="1:14">
      <c r="A318" s="11">
        <v>46108</v>
      </c>
      <c r="B318" s="11" t="s">
        <v>871</v>
      </c>
      <c r="D318" t="s">
        <v>0</v>
      </c>
      <c r="E318" t="s">
        <v>937</v>
      </c>
      <c r="F318" t="s">
        <v>577</v>
      </c>
      <c r="I318" s="3" t="s">
        <v>5</v>
      </c>
    </row>
    <row r="319" spans="1:14">
      <c r="A319" s="11">
        <v>46107</v>
      </c>
      <c r="B319" s="11" t="s">
        <v>871</v>
      </c>
      <c r="D319" t="s">
        <v>2</v>
      </c>
      <c r="E319" t="s">
        <v>1093</v>
      </c>
      <c r="F319" t="s">
        <v>811</v>
      </c>
      <c r="H319" s="3" t="s">
        <v>5</v>
      </c>
    </row>
    <row r="320" spans="1:14">
      <c r="A320" s="11">
        <v>46107</v>
      </c>
      <c r="B320" s="11" t="s">
        <v>871</v>
      </c>
      <c r="D320" t="s">
        <v>2</v>
      </c>
      <c r="E320" t="s">
        <v>1092</v>
      </c>
      <c r="F320" t="s">
        <v>319</v>
      </c>
      <c r="I320" s="3" t="s">
        <v>5</v>
      </c>
    </row>
    <row r="321" spans="1:14">
      <c r="A321" s="11">
        <v>46106</v>
      </c>
      <c r="B321" s="11" t="s">
        <v>871</v>
      </c>
      <c r="D321" t="s">
        <v>0</v>
      </c>
      <c r="E321" t="s">
        <v>1091</v>
      </c>
      <c r="F321" t="s">
        <v>760</v>
      </c>
      <c r="G321" s="3" t="s">
        <v>5</v>
      </c>
    </row>
    <row r="322" spans="1:14">
      <c r="A322" s="11">
        <v>46106</v>
      </c>
      <c r="B322" s="11" t="s">
        <v>871</v>
      </c>
      <c r="D322" t="s">
        <v>2</v>
      </c>
      <c r="E322" t="s">
        <v>1088</v>
      </c>
      <c r="F322" t="s">
        <v>436</v>
      </c>
      <c r="L322" s="3" t="s">
        <v>5</v>
      </c>
      <c r="N322" t="s">
        <v>1090</v>
      </c>
    </row>
    <row r="323" spans="1:14">
      <c r="A323" s="11">
        <v>46105</v>
      </c>
      <c r="B323" s="11" t="s">
        <v>871</v>
      </c>
      <c r="D323" t="s">
        <v>0</v>
      </c>
      <c r="E323" t="s">
        <v>1087</v>
      </c>
      <c r="F323" t="s">
        <v>386</v>
      </c>
      <c r="I323" s="3" t="s">
        <v>5</v>
      </c>
    </row>
    <row r="324" spans="1:14">
      <c r="A324" s="11">
        <v>46105</v>
      </c>
      <c r="B324" s="11" t="s">
        <v>871</v>
      </c>
      <c r="D324" t="s">
        <v>0</v>
      </c>
      <c r="E324" t="s">
        <v>897</v>
      </c>
      <c r="F324" t="s">
        <v>277</v>
      </c>
      <c r="N324" t="s">
        <v>1086</v>
      </c>
    </row>
    <row r="325" spans="1:14">
      <c r="A325" s="11">
        <v>46105</v>
      </c>
      <c r="B325" s="11" t="s">
        <v>871</v>
      </c>
      <c r="D325" t="s">
        <v>8</v>
      </c>
      <c r="E325" t="s">
        <v>1084</v>
      </c>
      <c r="F325" t="s">
        <v>494</v>
      </c>
      <c r="I325" s="3" t="s">
        <v>5</v>
      </c>
    </row>
    <row r="326" spans="1:14">
      <c r="A326" s="11">
        <v>46105</v>
      </c>
      <c r="B326" s="11" t="s">
        <v>871</v>
      </c>
      <c r="D326" t="s">
        <v>8</v>
      </c>
      <c r="E326" t="s">
        <v>1078</v>
      </c>
      <c r="F326" t="s">
        <v>721</v>
      </c>
    </row>
    <row r="327" spans="1:14">
      <c r="A327" s="11">
        <v>46105</v>
      </c>
      <c r="B327" s="11" t="s">
        <v>871</v>
      </c>
      <c r="D327" t="s">
        <v>0</v>
      </c>
      <c r="E327" t="s">
        <v>1082</v>
      </c>
      <c r="F327" t="s">
        <v>269</v>
      </c>
      <c r="N327" t="s">
        <v>1083</v>
      </c>
    </row>
    <row r="328" spans="1:14">
      <c r="A328" s="11">
        <v>46104</v>
      </c>
      <c r="B328" s="11" t="s">
        <v>871</v>
      </c>
      <c r="D328" t="s">
        <v>2</v>
      </c>
      <c r="E328" t="s">
        <v>931</v>
      </c>
      <c r="F328" t="s">
        <v>475</v>
      </c>
      <c r="I328" s="3" t="s">
        <v>5</v>
      </c>
    </row>
    <row r="329" spans="1:14">
      <c r="A329" s="11">
        <v>46104</v>
      </c>
      <c r="B329" s="11" t="s">
        <v>871</v>
      </c>
      <c r="D329" t="s">
        <v>0</v>
      </c>
      <c r="E329" t="s">
        <v>897</v>
      </c>
      <c r="F329" t="s">
        <v>129</v>
      </c>
      <c r="N329" t="s">
        <v>1076</v>
      </c>
    </row>
    <row r="330" spans="1:14">
      <c r="A330" s="11">
        <v>46103</v>
      </c>
      <c r="B330" s="11" t="s">
        <v>871</v>
      </c>
      <c r="D330" t="s">
        <v>2</v>
      </c>
      <c r="E330" t="s">
        <v>919</v>
      </c>
      <c r="F330" t="s">
        <v>821</v>
      </c>
      <c r="I330" s="3" t="s">
        <v>5</v>
      </c>
    </row>
    <row r="331" spans="1:14">
      <c r="A331" s="11">
        <v>46101</v>
      </c>
      <c r="B331" s="11" t="s">
        <v>871</v>
      </c>
      <c r="D331" t="s">
        <v>0</v>
      </c>
      <c r="E331" t="s">
        <v>1006</v>
      </c>
      <c r="F331" t="s">
        <v>269</v>
      </c>
      <c r="K331" s="3" t="s">
        <v>5</v>
      </c>
      <c r="N331" t="s">
        <v>1075</v>
      </c>
    </row>
    <row r="332" spans="1:14">
      <c r="A332" s="11">
        <v>46101</v>
      </c>
      <c r="B332" s="11" t="s">
        <v>871</v>
      </c>
      <c r="D332" t="s">
        <v>0</v>
      </c>
      <c r="E332" t="s">
        <v>6</v>
      </c>
      <c r="F332" t="s">
        <v>577</v>
      </c>
      <c r="N332" t="s">
        <v>1074</v>
      </c>
    </row>
    <row r="333" spans="1:14">
      <c r="A333" s="11">
        <v>46101</v>
      </c>
      <c r="B333" s="11" t="s">
        <v>871</v>
      </c>
      <c r="D333" t="s">
        <v>8</v>
      </c>
      <c r="E333" t="s">
        <v>1073</v>
      </c>
      <c r="F333" t="s">
        <v>684</v>
      </c>
      <c r="I333" s="3" t="s">
        <v>5</v>
      </c>
    </row>
    <row r="334" spans="1:14">
      <c r="A334" s="11">
        <v>46099</v>
      </c>
      <c r="B334" s="11" t="s">
        <v>871</v>
      </c>
      <c r="D334" t="s">
        <v>2</v>
      </c>
      <c r="E334" t="s">
        <v>1071</v>
      </c>
      <c r="F334" t="s">
        <v>714</v>
      </c>
      <c r="I334" s="3" t="s">
        <v>5</v>
      </c>
    </row>
    <row r="335" spans="1:14">
      <c r="A335" s="11">
        <v>46099</v>
      </c>
      <c r="B335" s="11" t="s">
        <v>871</v>
      </c>
      <c r="D335" t="s">
        <v>0</v>
      </c>
      <c r="E335" t="s">
        <v>1041</v>
      </c>
      <c r="F335" t="s">
        <v>499</v>
      </c>
      <c r="N335" t="s">
        <v>1070</v>
      </c>
    </row>
    <row r="336" spans="1:14">
      <c r="A336" s="11">
        <v>46099</v>
      </c>
      <c r="B336" s="11" t="s">
        <v>871</v>
      </c>
      <c r="D336" t="s">
        <v>0</v>
      </c>
      <c r="E336" t="s">
        <v>1069</v>
      </c>
      <c r="F336" t="s">
        <v>705</v>
      </c>
      <c r="I336" s="3" t="s">
        <v>5</v>
      </c>
    </row>
    <row r="337" spans="1:14">
      <c r="A337" s="11">
        <v>46098</v>
      </c>
      <c r="B337" s="11" t="s">
        <v>871</v>
      </c>
      <c r="D337" t="s">
        <v>2</v>
      </c>
      <c r="E337" t="s">
        <v>61</v>
      </c>
      <c r="F337" t="s">
        <v>620</v>
      </c>
      <c r="H337" s="3" t="s">
        <v>5</v>
      </c>
      <c r="I337" s="3" t="s">
        <v>5</v>
      </c>
    </row>
    <row r="338" spans="1:14">
      <c r="A338" s="11">
        <v>46098</v>
      </c>
      <c r="B338" s="11" t="s">
        <v>871</v>
      </c>
      <c r="D338" t="s">
        <v>2</v>
      </c>
      <c r="E338" t="s">
        <v>926</v>
      </c>
      <c r="F338" t="s">
        <v>1067</v>
      </c>
      <c r="I338" s="3" t="s">
        <v>5</v>
      </c>
      <c r="N338" t="s">
        <v>1068</v>
      </c>
    </row>
    <row r="339" spans="1:14">
      <c r="A339" s="11">
        <v>46097</v>
      </c>
      <c r="B339" s="11" t="s">
        <v>871</v>
      </c>
      <c r="D339" t="s">
        <v>0</v>
      </c>
      <c r="E339" t="s">
        <v>1064</v>
      </c>
      <c r="F339" t="s">
        <v>1065</v>
      </c>
      <c r="I339" s="3" t="s">
        <v>5</v>
      </c>
      <c r="N339" t="s">
        <v>1066</v>
      </c>
    </row>
    <row r="340" spans="1:14">
      <c r="A340" s="11">
        <v>46097</v>
      </c>
      <c r="B340" s="11" t="s">
        <v>871</v>
      </c>
      <c r="D340" t="s">
        <v>2</v>
      </c>
      <c r="E340" t="s">
        <v>952</v>
      </c>
      <c r="F340" t="s">
        <v>747</v>
      </c>
      <c r="N340" t="s">
        <v>1054</v>
      </c>
    </row>
    <row r="341" spans="1:14">
      <c r="A341" s="11">
        <v>46097</v>
      </c>
      <c r="B341" s="11" t="s">
        <v>871</v>
      </c>
      <c r="D341" t="s">
        <v>2</v>
      </c>
      <c r="E341" t="s">
        <v>1052</v>
      </c>
      <c r="F341" t="s">
        <v>125</v>
      </c>
      <c r="I341" s="3" t="s">
        <v>5</v>
      </c>
      <c r="N341" t="s">
        <v>1053</v>
      </c>
    </row>
    <row r="342" spans="1:14">
      <c r="A342" s="11">
        <v>46095</v>
      </c>
      <c r="B342" s="11" t="s">
        <v>871</v>
      </c>
      <c r="D342" t="s">
        <v>2</v>
      </c>
      <c r="E342" t="s">
        <v>899</v>
      </c>
      <c r="F342" t="s">
        <v>475</v>
      </c>
      <c r="I342" s="3" t="s">
        <v>5</v>
      </c>
      <c r="N342" t="s">
        <v>1051</v>
      </c>
    </row>
    <row r="343" spans="1:14">
      <c r="A343" s="11">
        <v>46094</v>
      </c>
      <c r="B343" s="11" t="s">
        <v>871</v>
      </c>
      <c r="D343" t="s">
        <v>0</v>
      </c>
      <c r="E343" t="s">
        <v>1049</v>
      </c>
      <c r="F343" t="s">
        <v>499</v>
      </c>
      <c r="H343" s="3" t="s">
        <v>5</v>
      </c>
      <c r="N343" t="s">
        <v>1046</v>
      </c>
    </row>
    <row r="344" spans="1:14">
      <c r="A344" s="11">
        <v>46093</v>
      </c>
      <c r="B344" s="11" t="s">
        <v>871</v>
      </c>
      <c r="D344" t="s">
        <v>0</v>
      </c>
      <c r="E344" t="s">
        <v>1047</v>
      </c>
      <c r="F344" t="s">
        <v>195</v>
      </c>
      <c r="I344" s="3" t="s">
        <v>5</v>
      </c>
    </row>
    <row r="345" spans="1:14">
      <c r="A345" s="11">
        <v>46093</v>
      </c>
      <c r="B345" s="11" t="s">
        <v>871</v>
      </c>
      <c r="D345" t="s">
        <v>8</v>
      </c>
      <c r="E345" t="s">
        <v>1045</v>
      </c>
      <c r="F345" t="s">
        <v>761</v>
      </c>
      <c r="I345" s="3" t="s">
        <v>5</v>
      </c>
      <c r="N345" t="s">
        <v>1046</v>
      </c>
    </row>
    <row r="346" spans="1:14">
      <c r="A346" s="11">
        <v>46093</v>
      </c>
      <c r="B346" s="11" t="s">
        <v>881</v>
      </c>
      <c r="D346" t="s">
        <v>2</v>
      </c>
      <c r="E346" t="s">
        <v>1044</v>
      </c>
      <c r="F346" t="s">
        <v>557</v>
      </c>
      <c r="L346" s="3" t="s">
        <v>5</v>
      </c>
    </row>
    <row r="347" spans="1:14">
      <c r="A347" s="11">
        <v>46093</v>
      </c>
      <c r="B347" s="11" t="s">
        <v>871</v>
      </c>
      <c r="D347" t="s">
        <v>8</v>
      </c>
      <c r="E347" t="s">
        <v>1042</v>
      </c>
      <c r="F347" t="s">
        <v>198</v>
      </c>
      <c r="I347" s="3" t="s">
        <v>5</v>
      </c>
    </row>
    <row r="348" spans="1:14">
      <c r="A348" s="11">
        <v>46093</v>
      </c>
      <c r="B348" s="11" t="s">
        <v>871</v>
      </c>
      <c r="D348" t="s">
        <v>2</v>
      </c>
      <c r="E348" t="s">
        <v>1040</v>
      </c>
      <c r="F348" t="s">
        <v>1050</v>
      </c>
      <c r="G348" s="3" t="s">
        <v>5</v>
      </c>
    </row>
    <row r="349" spans="1:14">
      <c r="A349" s="11">
        <v>46093</v>
      </c>
      <c r="B349" s="11" t="s">
        <v>871</v>
      </c>
      <c r="C349" s="11">
        <v>46105</v>
      </c>
      <c r="D349" t="s">
        <v>0</v>
      </c>
      <c r="E349" t="s">
        <v>1037</v>
      </c>
      <c r="F349" t="s">
        <v>577</v>
      </c>
      <c r="N349" t="s">
        <v>1061</v>
      </c>
    </row>
    <row r="350" spans="1:14">
      <c r="A350" s="11">
        <v>46093</v>
      </c>
      <c r="B350" s="11" t="s">
        <v>871</v>
      </c>
      <c r="C350" s="11">
        <v>46115</v>
      </c>
      <c r="D350" t="s">
        <v>2</v>
      </c>
      <c r="E350" t="s">
        <v>1037</v>
      </c>
      <c r="F350" t="s">
        <v>747</v>
      </c>
      <c r="N350" t="s">
        <v>1061</v>
      </c>
    </row>
    <row r="351" spans="1:14">
      <c r="A351" s="11">
        <v>46092</v>
      </c>
      <c r="B351" s="11" t="s">
        <v>871</v>
      </c>
      <c r="D351" t="s">
        <v>2</v>
      </c>
      <c r="E351" t="s">
        <v>926</v>
      </c>
      <c r="F351" t="s">
        <v>485</v>
      </c>
      <c r="N351" t="s">
        <v>986</v>
      </c>
    </row>
    <row r="352" spans="1:14">
      <c r="A352" s="11">
        <v>46092</v>
      </c>
      <c r="B352" s="11" t="s">
        <v>871</v>
      </c>
      <c r="D352" t="s">
        <v>2</v>
      </c>
      <c r="E352" t="s">
        <v>982</v>
      </c>
      <c r="F352" t="s">
        <v>319</v>
      </c>
      <c r="N352" t="s">
        <v>961</v>
      </c>
    </row>
    <row r="353" spans="1:15">
      <c r="A353" s="11">
        <v>46092</v>
      </c>
      <c r="B353" s="11" t="s">
        <v>871</v>
      </c>
      <c r="D353" t="s">
        <v>2</v>
      </c>
      <c r="E353" t="s">
        <v>899</v>
      </c>
      <c r="F353" t="s">
        <v>475</v>
      </c>
      <c r="I353" s="3" t="s">
        <v>5</v>
      </c>
      <c r="N353" t="s">
        <v>1033</v>
      </c>
    </row>
    <row r="354" spans="1:15">
      <c r="A354" s="11">
        <v>46091</v>
      </c>
      <c r="B354" s="11" t="s">
        <v>871</v>
      </c>
      <c r="C354" s="11">
        <v>46093</v>
      </c>
      <c r="D354" t="s">
        <v>2</v>
      </c>
      <c r="E354" t="s">
        <v>1041</v>
      </c>
      <c r="F354" t="s">
        <v>97</v>
      </c>
      <c r="H354" s="3" t="s">
        <v>5</v>
      </c>
      <c r="I354" s="3" t="s">
        <v>5</v>
      </c>
    </row>
    <row r="355" spans="1:15">
      <c r="A355" s="11">
        <v>46091</v>
      </c>
      <c r="B355" s="11" t="s">
        <v>871</v>
      </c>
      <c r="D355" t="s">
        <v>2</v>
      </c>
      <c r="E355" t="s">
        <v>1030</v>
      </c>
      <c r="F355" t="s">
        <v>747</v>
      </c>
      <c r="L355" s="3" t="s">
        <v>5</v>
      </c>
      <c r="N355" t="s">
        <v>1060</v>
      </c>
    </row>
    <row r="356" spans="1:15">
      <c r="A356" s="11">
        <v>46091</v>
      </c>
      <c r="B356" s="11" t="s">
        <v>871</v>
      </c>
      <c r="D356" t="s">
        <v>0</v>
      </c>
      <c r="E356" t="s">
        <v>1029</v>
      </c>
      <c r="F356" t="s">
        <v>152</v>
      </c>
      <c r="I356" s="3" t="s">
        <v>5</v>
      </c>
    </row>
    <row r="357" spans="1:15">
      <c r="A357" s="11">
        <v>46091</v>
      </c>
      <c r="B357" s="11" t="s">
        <v>871</v>
      </c>
      <c r="D357" t="s">
        <v>0</v>
      </c>
      <c r="E357" t="s">
        <v>1028</v>
      </c>
      <c r="F357" t="s">
        <v>386</v>
      </c>
      <c r="G357" s="3" t="s">
        <v>5</v>
      </c>
      <c r="N357" t="s">
        <v>1032</v>
      </c>
    </row>
    <row r="358" spans="1:15">
      <c r="A358" s="11">
        <v>46091</v>
      </c>
      <c r="B358" s="11" t="s">
        <v>871</v>
      </c>
      <c r="D358" t="s">
        <v>0</v>
      </c>
      <c r="E358" t="s">
        <v>897</v>
      </c>
      <c r="F358" t="s">
        <v>640</v>
      </c>
      <c r="N358" t="s">
        <v>1027</v>
      </c>
    </row>
    <row r="359" spans="1:15">
      <c r="A359" s="11">
        <v>46091</v>
      </c>
      <c r="B359" s="11" t="s">
        <v>871</v>
      </c>
      <c r="D359" t="s">
        <v>8</v>
      </c>
      <c r="E359" t="s">
        <v>1024</v>
      </c>
      <c r="F359" t="s">
        <v>572</v>
      </c>
      <c r="N359" t="s">
        <v>1025</v>
      </c>
      <c r="O359" t="s">
        <v>1026</v>
      </c>
    </row>
    <row r="360" spans="1:15">
      <c r="A360" s="11">
        <v>46091</v>
      </c>
      <c r="B360" s="11" t="s">
        <v>871</v>
      </c>
      <c r="C360" s="11">
        <v>46097</v>
      </c>
      <c r="D360" t="s">
        <v>0</v>
      </c>
      <c r="E360" t="s">
        <v>1018</v>
      </c>
      <c r="F360" t="s">
        <v>269</v>
      </c>
      <c r="G360" s="3" t="s">
        <v>5</v>
      </c>
    </row>
    <row r="361" spans="1:15">
      <c r="A361" s="11">
        <v>46091</v>
      </c>
      <c r="B361" s="11" t="s">
        <v>871</v>
      </c>
      <c r="D361" t="s">
        <v>0</v>
      </c>
      <c r="E361" t="s">
        <v>1016</v>
      </c>
      <c r="F361" t="s">
        <v>578</v>
      </c>
      <c r="N361" t="s">
        <v>1017</v>
      </c>
    </row>
    <row r="362" spans="1:15">
      <c r="A362" s="11">
        <v>46091</v>
      </c>
      <c r="B362" s="11" t="s">
        <v>871</v>
      </c>
      <c r="D362" t="s">
        <v>8</v>
      </c>
      <c r="E362" t="s">
        <v>56</v>
      </c>
      <c r="F362" t="s">
        <v>175</v>
      </c>
      <c r="I362" s="3" t="s">
        <v>5</v>
      </c>
      <c r="N362" t="s">
        <v>996</v>
      </c>
    </row>
    <row r="363" spans="1:15">
      <c r="A363" s="11">
        <v>46090</v>
      </c>
      <c r="B363" s="11" t="s">
        <v>871</v>
      </c>
      <c r="D363" t="s">
        <v>2</v>
      </c>
      <c r="E363" t="s">
        <v>34</v>
      </c>
      <c r="F363" t="s">
        <v>311</v>
      </c>
      <c r="I363" s="3" t="s">
        <v>5</v>
      </c>
      <c r="N363" t="s">
        <v>1015</v>
      </c>
    </row>
    <row r="364" spans="1:15">
      <c r="A364" s="11">
        <v>46090</v>
      </c>
      <c r="B364" s="11" t="s">
        <v>871</v>
      </c>
      <c r="C364" s="11">
        <v>46094</v>
      </c>
      <c r="D364" t="s">
        <v>0</v>
      </c>
      <c r="E364" t="s">
        <v>1012</v>
      </c>
      <c r="F364" t="s">
        <v>705</v>
      </c>
    </row>
    <row r="365" spans="1:15">
      <c r="A365" s="11">
        <v>46090</v>
      </c>
      <c r="B365" s="11" t="s">
        <v>871</v>
      </c>
      <c r="D365" t="s">
        <v>2</v>
      </c>
      <c r="E365" t="s">
        <v>1011</v>
      </c>
      <c r="F365" t="s">
        <v>812</v>
      </c>
      <c r="I365" s="3" t="s">
        <v>5</v>
      </c>
    </row>
    <row r="366" spans="1:15">
      <c r="A366" s="11">
        <v>46090</v>
      </c>
      <c r="B366" s="11" t="s">
        <v>871</v>
      </c>
      <c r="D366" t="s">
        <v>2</v>
      </c>
      <c r="E366" t="s">
        <v>1010</v>
      </c>
      <c r="F366" t="s">
        <v>811</v>
      </c>
      <c r="H366" s="3" t="s">
        <v>5</v>
      </c>
      <c r="I366" s="3" t="s">
        <v>5</v>
      </c>
      <c r="N366" t="s">
        <v>1039</v>
      </c>
    </row>
    <row r="367" spans="1:15">
      <c r="A367" s="11">
        <v>46090</v>
      </c>
      <c r="B367" s="11" t="s">
        <v>871</v>
      </c>
      <c r="D367" t="s">
        <v>0</v>
      </c>
      <c r="E367" t="s">
        <v>897</v>
      </c>
      <c r="F367" t="s">
        <v>209</v>
      </c>
      <c r="N367" t="s">
        <v>42</v>
      </c>
    </row>
    <row r="368" spans="1:15">
      <c r="A368" s="11">
        <v>46090</v>
      </c>
      <c r="B368" s="11" t="s">
        <v>871</v>
      </c>
      <c r="D368" t="s">
        <v>2</v>
      </c>
      <c r="E368" t="s">
        <v>1008</v>
      </c>
      <c r="F368" t="s">
        <v>810</v>
      </c>
      <c r="I368" s="3" t="s">
        <v>5</v>
      </c>
    </row>
    <row r="369" spans="1:15">
      <c r="A369" s="11">
        <v>46090</v>
      </c>
      <c r="B369" s="11" t="s">
        <v>871</v>
      </c>
      <c r="D369" t="s">
        <v>0</v>
      </c>
      <c r="E369" t="s">
        <v>1006</v>
      </c>
      <c r="F369" t="s">
        <v>269</v>
      </c>
      <c r="G369" s="3" t="s">
        <v>5</v>
      </c>
      <c r="N369" t="s">
        <v>1007</v>
      </c>
      <c r="O369" t="s">
        <v>944</v>
      </c>
    </row>
    <row r="370" spans="1:15">
      <c r="A370" s="11">
        <v>46089</v>
      </c>
      <c r="B370" s="11" t="s">
        <v>871</v>
      </c>
      <c r="D370" t="s">
        <v>2</v>
      </c>
      <c r="E370" t="s">
        <v>1004</v>
      </c>
      <c r="F370" t="s">
        <v>385</v>
      </c>
      <c r="K370" s="3" t="s">
        <v>5</v>
      </c>
    </row>
    <row r="371" spans="1:15">
      <c r="A371" s="11">
        <v>46089</v>
      </c>
      <c r="B371" s="11" t="s">
        <v>871</v>
      </c>
      <c r="D371" t="s">
        <v>2</v>
      </c>
      <c r="E371" t="s">
        <v>1003</v>
      </c>
      <c r="F371" t="s">
        <v>385</v>
      </c>
      <c r="L371" s="3" t="s">
        <v>5</v>
      </c>
    </row>
    <row r="372" spans="1:15">
      <c r="A372" s="11">
        <v>46089</v>
      </c>
      <c r="B372" s="11" t="s">
        <v>871</v>
      </c>
      <c r="D372" t="s">
        <v>2</v>
      </c>
      <c r="E372" t="s">
        <v>982</v>
      </c>
      <c r="F372" t="s">
        <v>319</v>
      </c>
      <c r="H372" s="3" t="s">
        <v>5</v>
      </c>
    </row>
    <row r="373" spans="1:15">
      <c r="A373" s="11">
        <v>46087</v>
      </c>
      <c r="B373" s="11" t="s">
        <v>871</v>
      </c>
      <c r="D373" t="s">
        <v>0</v>
      </c>
      <c r="E373" t="s">
        <v>1000</v>
      </c>
      <c r="F373" t="s">
        <v>386</v>
      </c>
      <c r="I373" s="3" t="s">
        <v>5</v>
      </c>
      <c r="K373" s="3" t="s">
        <v>5</v>
      </c>
      <c r="N373" t="s">
        <v>1001</v>
      </c>
    </row>
    <row r="374" spans="1:15">
      <c r="A374" s="11">
        <v>46087</v>
      </c>
      <c r="B374" s="11" t="s">
        <v>871</v>
      </c>
      <c r="C374" s="11">
        <v>46094</v>
      </c>
      <c r="D374" t="s">
        <v>0</v>
      </c>
      <c r="E374" t="s">
        <v>54</v>
      </c>
      <c r="F374" t="s">
        <v>487</v>
      </c>
      <c r="H374" s="3" t="s">
        <v>5</v>
      </c>
    </row>
    <row r="375" spans="1:15">
      <c r="A375" s="11">
        <v>46087</v>
      </c>
      <c r="B375" s="11" t="s">
        <v>871</v>
      </c>
      <c r="D375" t="s">
        <v>0</v>
      </c>
      <c r="E375" t="s">
        <v>992</v>
      </c>
      <c r="F375" t="s">
        <v>592</v>
      </c>
      <c r="I375" s="3" t="s">
        <v>5</v>
      </c>
    </row>
    <row r="376" spans="1:15">
      <c r="A376" s="11">
        <v>46087</v>
      </c>
      <c r="B376" s="11" t="s">
        <v>881</v>
      </c>
      <c r="D376" t="s">
        <v>2</v>
      </c>
      <c r="E376" t="s">
        <v>953</v>
      </c>
      <c r="F376" t="s">
        <v>475</v>
      </c>
      <c r="I376" s="3" t="s">
        <v>5</v>
      </c>
      <c r="N376" t="s">
        <v>1002</v>
      </c>
    </row>
    <row r="377" spans="1:15">
      <c r="A377" s="11">
        <v>46087</v>
      </c>
      <c r="B377" s="11" t="s">
        <v>871</v>
      </c>
      <c r="D377" t="s">
        <v>2</v>
      </c>
      <c r="E377" t="s">
        <v>993</v>
      </c>
      <c r="F377" t="s">
        <v>264</v>
      </c>
      <c r="I377" s="3" t="s">
        <v>5</v>
      </c>
      <c r="N377" t="s">
        <v>999</v>
      </c>
    </row>
    <row r="378" spans="1:15">
      <c r="A378" s="11">
        <v>46086</v>
      </c>
      <c r="B378" s="11" t="s">
        <v>871</v>
      </c>
      <c r="D378" t="s">
        <v>2</v>
      </c>
      <c r="E378" t="s">
        <v>953</v>
      </c>
      <c r="F378" t="s">
        <v>385</v>
      </c>
      <c r="N378" t="s">
        <v>990</v>
      </c>
    </row>
    <row r="379" spans="1:15">
      <c r="A379" s="11">
        <v>46086</v>
      </c>
      <c r="B379" s="11" t="s">
        <v>871</v>
      </c>
      <c r="D379" t="s">
        <v>0</v>
      </c>
      <c r="E379" t="s">
        <v>897</v>
      </c>
      <c r="F379" t="s">
        <v>776</v>
      </c>
      <c r="N379" t="s">
        <v>989</v>
      </c>
    </row>
    <row r="380" spans="1:15">
      <c r="A380" s="11">
        <v>46086</v>
      </c>
      <c r="B380" s="11" t="s">
        <v>871</v>
      </c>
      <c r="D380" t="s">
        <v>0</v>
      </c>
      <c r="E380" t="s">
        <v>897</v>
      </c>
      <c r="F380" t="s">
        <v>131</v>
      </c>
      <c r="N380" t="s">
        <v>988</v>
      </c>
    </row>
    <row r="381" spans="1:15">
      <c r="A381" s="11">
        <v>46086</v>
      </c>
      <c r="B381" s="11" t="s">
        <v>871</v>
      </c>
      <c r="D381" t="s">
        <v>0</v>
      </c>
      <c r="E381" t="s">
        <v>897</v>
      </c>
      <c r="F381" t="s">
        <v>776</v>
      </c>
      <c r="N381" t="s">
        <v>987</v>
      </c>
    </row>
    <row r="382" spans="1:15">
      <c r="A382" s="11">
        <v>46085</v>
      </c>
      <c r="B382" s="11" t="s">
        <v>871</v>
      </c>
      <c r="C382" s="11">
        <v>46098</v>
      </c>
      <c r="D382" t="s">
        <v>2</v>
      </c>
      <c r="E382" t="s">
        <v>984</v>
      </c>
      <c r="F382" t="s">
        <v>747</v>
      </c>
      <c r="N382" t="s">
        <v>1009</v>
      </c>
      <c r="O382" t="s">
        <v>991</v>
      </c>
    </row>
    <row r="383" spans="1:15">
      <c r="A383" s="11">
        <v>46085</v>
      </c>
      <c r="B383" s="11" t="s">
        <v>871</v>
      </c>
      <c r="D383" t="s">
        <v>2</v>
      </c>
      <c r="E383" t="s">
        <v>982</v>
      </c>
      <c r="F383" t="s">
        <v>319</v>
      </c>
      <c r="N383" t="s">
        <v>961</v>
      </c>
    </row>
    <row r="384" spans="1:15">
      <c r="A384" s="11">
        <v>46085</v>
      </c>
      <c r="B384" s="11" t="s">
        <v>871</v>
      </c>
      <c r="D384" t="s">
        <v>0</v>
      </c>
      <c r="F384" t="s">
        <v>592</v>
      </c>
      <c r="N384" t="s">
        <v>997</v>
      </c>
    </row>
    <row r="385" spans="1:15">
      <c r="A385" s="11">
        <v>46085</v>
      </c>
      <c r="B385" s="11" t="s">
        <v>871</v>
      </c>
      <c r="D385" t="s">
        <v>0</v>
      </c>
      <c r="E385" t="s">
        <v>980</v>
      </c>
      <c r="F385" t="s">
        <v>386</v>
      </c>
      <c r="I385" s="3" t="s">
        <v>5</v>
      </c>
    </row>
    <row r="386" spans="1:15">
      <c r="A386" s="11">
        <v>46085</v>
      </c>
      <c r="B386" s="11" t="s">
        <v>871</v>
      </c>
      <c r="D386" t="s">
        <v>0</v>
      </c>
      <c r="E386" t="s">
        <v>977</v>
      </c>
      <c r="F386" t="s">
        <v>269</v>
      </c>
      <c r="N386" t="s">
        <v>978</v>
      </c>
    </row>
    <row r="387" spans="1:15">
      <c r="A387" s="11">
        <v>46085</v>
      </c>
      <c r="B387" s="11" t="s">
        <v>871</v>
      </c>
      <c r="D387" t="s">
        <v>0</v>
      </c>
      <c r="E387" t="s">
        <v>974</v>
      </c>
      <c r="F387" t="s">
        <v>71</v>
      </c>
      <c r="L387" s="3" t="s">
        <v>5</v>
      </c>
    </row>
    <row r="388" spans="1:15">
      <c r="A388" s="11">
        <v>46084</v>
      </c>
      <c r="B388" s="11" t="s">
        <v>871</v>
      </c>
      <c r="C388" s="11">
        <v>46086</v>
      </c>
      <c r="D388" t="s">
        <v>2</v>
      </c>
      <c r="E388" t="s">
        <v>30</v>
      </c>
      <c r="F388" t="s">
        <v>97</v>
      </c>
      <c r="N388" t="s">
        <v>966</v>
      </c>
    </row>
    <row r="389" spans="1:15">
      <c r="A389" s="11">
        <v>46084</v>
      </c>
      <c r="B389" s="11" t="s">
        <v>871</v>
      </c>
      <c r="D389" t="s">
        <v>0</v>
      </c>
      <c r="E389" t="s">
        <v>65</v>
      </c>
      <c r="F389" t="s">
        <v>760</v>
      </c>
      <c r="K389" s="3" t="s">
        <v>5</v>
      </c>
      <c r="N389" t="s">
        <v>961</v>
      </c>
    </row>
    <row r="390" spans="1:15">
      <c r="A390" s="11">
        <v>46084</v>
      </c>
      <c r="B390" s="11" t="s">
        <v>871</v>
      </c>
      <c r="C390" s="11">
        <v>46086</v>
      </c>
      <c r="D390" t="s">
        <v>2</v>
      </c>
      <c r="E390" t="s">
        <v>964</v>
      </c>
      <c r="F390" t="s">
        <v>284</v>
      </c>
      <c r="G390" s="3" t="s">
        <v>5</v>
      </c>
    </row>
    <row r="391" spans="1:15">
      <c r="A391" s="11">
        <v>46084</v>
      </c>
      <c r="B391" s="11" t="s">
        <v>871</v>
      </c>
      <c r="D391" t="s">
        <v>2</v>
      </c>
      <c r="E391" t="s">
        <v>4</v>
      </c>
      <c r="F391" t="s">
        <v>811</v>
      </c>
      <c r="I391" s="3" t="s">
        <v>5</v>
      </c>
      <c r="N391" t="s">
        <v>996</v>
      </c>
      <c r="O391" t="s">
        <v>975</v>
      </c>
    </row>
    <row r="392" spans="1:15">
      <c r="A392" s="11">
        <v>46084</v>
      </c>
      <c r="B392" s="11" t="s">
        <v>871</v>
      </c>
      <c r="D392" t="s">
        <v>2</v>
      </c>
      <c r="E392" t="s">
        <v>952</v>
      </c>
      <c r="F392" t="s">
        <v>747</v>
      </c>
      <c r="N392" t="s">
        <v>962</v>
      </c>
    </row>
    <row r="393" spans="1:15">
      <c r="A393" s="11">
        <v>46084</v>
      </c>
      <c r="B393" s="11" t="s">
        <v>871</v>
      </c>
      <c r="D393" t="s">
        <v>2</v>
      </c>
      <c r="E393" t="s">
        <v>960</v>
      </c>
      <c r="F393" t="s">
        <v>284</v>
      </c>
      <c r="K393" s="3" t="s">
        <v>5</v>
      </c>
      <c r="N393" t="s">
        <v>972</v>
      </c>
    </row>
    <row r="394" spans="1:15">
      <c r="A394" s="11">
        <v>46084</v>
      </c>
      <c r="B394" s="11" t="s">
        <v>871</v>
      </c>
      <c r="D394" t="s">
        <v>2</v>
      </c>
      <c r="E394" t="s">
        <v>1031</v>
      </c>
      <c r="F394" t="s">
        <v>963</v>
      </c>
      <c r="I394" s="3" t="s">
        <v>5</v>
      </c>
      <c r="N394" t="s">
        <v>958</v>
      </c>
    </row>
    <row r="395" spans="1:15">
      <c r="A395" s="11">
        <v>46083</v>
      </c>
      <c r="B395" s="11" t="s">
        <v>871</v>
      </c>
      <c r="D395" t="s">
        <v>8</v>
      </c>
      <c r="E395" t="s">
        <v>957</v>
      </c>
      <c r="F395" t="s">
        <v>572</v>
      </c>
      <c r="G395" s="3" t="s">
        <v>5</v>
      </c>
      <c r="H395" s="3" t="s">
        <v>5</v>
      </c>
      <c r="I395" s="3" t="s">
        <v>5</v>
      </c>
      <c r="J395" s="3" t="s">
        <v>5</v>
      </c>
      <c r="K395" s="3" t="s">
        <v>5</v>
      </c>
      <c r="N395" t="s">
        <v>958</v>
      </c>
      <c r="O395" s="3" t="s">
        <v>944</v>
      </c>
    </row>
    <row r="396" spans="1:15">
      <c r="A396" s="11">
        <v>46083</v>
      </c>
      <c r="B396" s="11" t="s">
        <v>871</v>
      </c>
      <c r="D396" t="s">
        <v>8</v>
      </c>
      <c r="E396" t="s">
        <v>955</v>
      </c>
      <c r="I396" s="3" t="s">
        <v>5</v>
      </c>
      <c r="N396" t="s">
        <v>954</v>
      </c>
    </row>
    <row r="397" spans="1:15">
      <c r="A397" s="11">
        <v>46079</v>
      </c>
      <c r="B397" s="11" t="s">
        <v>871</v>
      </c>
      <c r="D397" t="s">
        <v>2</v>
      </c>
      <c r="E397" t="s">
        <v>953</v>
      </c>
      <c r="F397" t="s">
        <v>385</v>
      </c>
      <c r="N397" t="s">
        <v>965</v>
      </c>
    </row>
    <row r="398" spans="1:15">
      <c r="A398" s="11">
        <v>46082</v>
      </c>
      <c r="B398" s="11" t="s">
        <v>871</v>
      </c>
      <c r="C398" s="11">
        <v>46084</v>
      </c>
      <c r="D398" t="s">
        <v>2</v>
      </c>
      <c r="E398" t="s">
        <v>952</v>
      </c>
      <c r="F398" t="s">
        <v>747</v>
      </c>
      <c r="M398" s="3" t="s">
        <v>5</v>
      </c>
      <c r="N398" t="s">
        <v>967</v>
      </c>
    </row>
    <row r="399" spans="1:15">
      <c r="A399" s="11">
        <v>46080</v>
      </c>
      <c r="B399" s="11" t="s">
        <v>871</v>
      </c>
      <c r="C399" s="11">
        <v>46091</v>
      </c>
      <c r="D399" t="s">
        <v>2</v>
      </c>
      <c r="E399" t="s">
        <v>951</v>
      </c>
      <c r="F399" t="s">
        <v>475</v>
      </c>
      <c r="I399" s="3" t="s">
        <v>5</v>
      </c>
      <c r="N399" t="s">
        <v>973</v>
      </c>
      <c r="O399" t="s">
        <v>944</v>
      </c>
    </row>
    <row r="400" spans="1:15">
      <c r="A400" s="11">
        <v>46079</v>
      </c>
      <c r="B400" s="11" t="s">
        <v>871</v>
      </c>
      <c r="D400" t="s">
        <v>0</v>
      </c>
      <c r="E400" t="s">
        <v>937</v>
      </c>
      <c r="F400" t="s">
        <v>577</v>
      </c>
      <c r="G400" s="3" t="s">
        <v>5</v>
      </c>
    </row>
    <row r="401" spans="1:15">
      <c r="A401" s="11">
        <v>46079</v>
      </c>
      <c r="B401" s="11" t="s">
        <v>871</v>
      </c>
      <c r="D401" t="s">
        <v>0</v>
      </c>
      <c r="E401" t="s">
        <v>6</v>
      </c>
      <c r="F401" t="s">
        <v>577</v>
      </c>
      <c r="N401" t="s">
        <v>950</v>
      </c>
    </row>
    <row r="402" spans="1:15">
      <c r="A402" s="11">
        <v>46079</v>
      </c>
      <c r="B402" s="11" t="s">
        <v>871</v>
      </c>
      <c r="D402" t="s">
        <v>0</v>
      </c>
      <c r="E402" t="s">
        <v>6</v>
      </c>
      <c r="F402" t="s">
        <v>577</v>
      </c>
      <c r="N402" t="s">
        <v>949</v>
      </c>
    </row>
    <row r="403" spans="1:15">
      <c r="A403" s="11">
        <v>46079</v>
      </c>
      <c r="B403" s="11" t="s">
        <v>871</v>
      </c>
      <c r="C403" s="11">
        <v>46079</v>
      </c>
      <c r="D403" t="s">
        <v>0</v>
      </c>
      <c r="E403" t="s">
        <v>897</v>
      </c>
      <c r="F403" t="s">
        <v>776</v>
      </c>
      <c r="N403" t="s">
        <v>948</v>
      </c>
    </row>
    <row r="404" spans="1:15">
      <c r="A404" s="11">
        <v>46078</v>
      </c>
      <c r="B404" s="11" t="s">
        <v>871</v>
      </c>
      <c r="C404" s="11">
        <v>46080</v>
      </c>
      <c r="D404" t="s">
        <v>8</v>
      </c>
      <c r="E404" t="s">
        <v>946</v>
      </c>
      <c r="F404" t="s">
        <v>947</v>
      </c>
    </row>
    <row r="405" spans="1:15">
      <c r="A405" s="11">
        <v>46078</v>
      </c>
      <c r="B405" s="11" t="s">
        <v>871</v>
      </c>
      <c r="C405" s="11">
        <v>46079</v>
      </c>
      <c r="D405" t="s">
        <v>0</v>
      </c>
      <c r="E405" t="s">
        <v>54</v>
      </c>
      <c r="F405" t="s">
        <v>487</v>
      </c>
      <c r="N405" t="s">
        <v>942</v>
      </c>
    </row>
    <row r="406" spans="1:15">
      <c r="A406" s="11">
        <v>46078</v>
      </c>
      <c r="B406" s="11" t="s">
        <v>871</v>
      </c>
      <c r="C406" s="11">
        <v>46079</v>
      </c>
      <c r="D406" t="s">
        <v>8</v>
      </c>
      <c r="E406" t="s">
        <v>943</v>
      </c>
      <c r="F406" t="s">
        <v>250</v>
      </c>
      <c r="N406" t="s">
        <v>945</v>
      </c>
      <c r="O406" t="s">
        <v>944</v>
      </c>
    </row>
    <row r="407" spans="1:15">
      <c r="A407" s="11">
        <v>46078</v>
      </c>
      <c r="B407" s="11" t="s">
        <v>871</v>
      </c>
      <c r="C407" s="11">
        <v>46084</v>
      </c>
      <c r="D407" t="s">
        <v>8</v>
      </c>
      <c r="E407" t="s">
        <v>938</v>
      </c>
      <c r="F407" t="s">
        <v>318</v>
      </c>
      <c r="N407" t="s">
        <v>945</v>
      </c>
    </row>
    <row r="408" spans="1:15">
      <c r="A408" s="11">
        <v>46077</v>
      </c>
      <c r="B408" s="11" t="s">
        <v>871</v>
      </c>
      <c r="C408" s="11">
        <v>46079</v>
      </c>
      <c r="D408" t="s">
        <v>0</v>
      </c>
      <c r="E408" t="s">
        <v>937</v>
      </c>
      <c r="F408" t="s">
        <v>577</v>
      </c>
      <c r="N408" t="s">
        <v>939</v>
      </c>
    </row>
    <row r="409" spans="1:15">
      <c r="A409" s="11">
        <v>46077</v>
      </c>
      <c r="B409" s="11" t="s">
        <v>871</v>
      </c>
      <c r="C409" s="11">
        <v>46076</v>
      </c>
      <c r="D409" t="s">
        <v>0</v>
      </c>
      <c r="E409" t="s">
        <v>13</v>
      </c>
      <c r="F409" t="s">
        <v>152</v>
      </c>
      <c r="N409" t="s">
        <v>936</v>
      </c>
      <c r="O409" t="s">
        <v>935</v>
      </c>
    </row>
    <row r="410" spans="1:15">
      <c r="A410" s="11">
        <v>46076</v>
      </c>
      <c r="B410" s="11" t="s">
        <v>871</v>
      </c>
      <c r="C410" s="11">
        <v>46078</v>
      </c>
      <c r="D410" t="s">
        <v>2</v>
      </c>
      <c r="E410" t="s">
        <v>930</v>
      </c>
      <c r="F410" t="s">
        <v>475</v>
      </c>
      <c r="I410" s="3" t="s">
        <v>5</v>
      </c>
    </row>
    <row r="411" spans="1:15">
      <c r="A411" s="11">
        <v>46076</v>
      </c>
      <c r="B411" s="11" t="s">
        <v>871</v>
      </c>
      <c r="C411" s="11">
        <v>46077</v>
      </c>
      <c r="D411" t="s">
        <v>2</v>
      </c>
      <c r="E411" t="s">
        <v>926</v>
      </c>
      <c r="F411" t="s">
        <v>623</v>
      </c>
      <c r="N411" t="s">
        <v>927</v>
      </c>
    </row>
    <row r="412" spans="1:15">
      <c r="A412" s="11">
        <v>46076</v>
      </c>
      <c r="B412" s="11" t="s">
        <v>871</v>
      </c>
      <c r="D412" t="s">
        <v>0</v>
      </c>
      <c r="E412" t="s">
        <v>923</v>
      </c>
      <c r="F412" t="s">
        <v>827</v>
      </c>
      <c r="N412" t="s">
        <v>928</v>
      </c>
    </row>
    <row r="413" spans="1:15">
      <c r="A413" s="11">
        <v>46075</v>
      </c>
      <c r="B413" s="11" t="s">
        <v>871</v>
      </c>
      <c r="C413" s="11">
        <v>46077</v>
      </c>
      <c r="D413" t="s">
        <v>2</v>
      </c>
      <c r="E413" t="s">
        <v>919</v>
      </c>
      <c r="F413" t="s">
        <v>821</v>
      </c>
      <c r="I413" s="3" t="s">
        <v>5</v>
      </c>
    </row>
    <row r="414" spans="1:15">
      <c r="A414" s="11">
        <v>46075</v>
      </c>
      <c r="B414" s="11" t="s">
        <v>871</v>
      </c>
      <c r="D414" t="s">
        <v>2</v>
      </c>
      <c r="E414" t="s">
        <v>916</v>
      </c>
      <c r="F414" t="s">
        <v>812</v>
      </c>
      <c r="G414" s="21" t="s">
        <v>932</v>
      </c>
      <c r="H414" s="21"/>
      <c r="I414" s="21"/>
      <c r="J414" s="21"/>
      <c r="K414" s="21"/>
      <c r="L414" s="21"/>
      <c r="M414" s="21"/>
      <c r="N414" s="21"/>
      <c r="O414" t="s">
        <v>920</v>
      </c>
    </row>
    <row r="415" spans="1:15">
      <c r="A415" s="11">
        <v>46073</v>
      </c>
      <c r="B415" s="11" t="s">
        <v>871</v>
      </c>
      <c r="C415" s="11">
        <v>46080</v>
      </c>
      <c r="D415" t="s">
        <v>8</v>
      </c>
      <c r="E415" t="s">
        <v>921</v>
      </c>
      <c r="F415" t="s">
        <v>318</v>
      </c>
      <c r="I415" s="3" t="s">
        <v>5</v>
      </c>
      <c r="O415" t="s">
        <v>922</v>
      </c>
    </row>
    <row r="416" spans="1:15">
      <c r="A416" s="11">
        <v>46073</v>
      </c>
      <c r="B416" s="11" t="s">
        <v>871</v>
      </c>
      <c r="C416" s="11">
        <v>46076</v>
      </c>
      <c r="D416" t="s">
        <v>0</v>
      </c>
      <c r="E416" t="s">
        <v>65</v>
      </c>
      <c r="F416" t="s">
        <v>760</v>
      </c>
    </row>
    <row r="417" spans="1:15">
      <c r="A417" s="11">
        <v>46073</v>
      </c>
      <c r="B417" s="11" t="s">
        <v>871</v>
      </c>
      <c r="D417" t="s">
        <v>869</v>
      </c>
      <c r="F417" t="s">
        <v>869</v>
      </c>
      <c r="G417" t="s">
        <v>67</v>
      </c>
      <c r="H417"/>
      <c r="I417"/>
      <c r="J417"/>
      <c r="K417"/>
      <c r="L417"/>
      <c r="M417"/>
    </row>
    <row r="418" spans="1:15">
      <c r="A418" s="11">
        <v>46073</v>
      </c>
      <c r="B418" s="11" t="s">
        <v>871</v>
      </c>
      <c r="C418" s="11">
        <v>46076</v>
      </c>
      <c r="D418" t="s">
        <v>0</v>
      </c>
      <c r="E418" t="s">
        <v>66</v>
      </c>
      <c r="F418" t="s">
        <v>635</v>
      </c>
      <c r="N418" t="s">
        <v>933</v>
      </c>
    </row>
    <row r="419" spans="1:15">
      <c r="A419" s="11">
        <v>46073</v>
      </c>
      <c r="B419" s="11" t="s">
        <v>871</v>
      </c>
      <c r="C419" s="11">
        <v>46080</v>
      </c>
      <c r="D419" t="s">
        <v>0</v>
      </c>
      <c r="E419" t="s">
        <v>66</v>
      </c>
      <c r="F419" t="s">
        <v>577</v>
      </c>
      <c r="N419" t="s">
        <v>934</v>
      </c>
      <c r="O419" s="1"/>
    </row>
    <row r="420" spans="1:15">
      <c r="A420" s="12">
        <v>46072</v>
      </c>
      <c r="B420" s="11" t="s">
        <v>871</v>
      </c>
      <c r="D420" t="s">
        <v>0</v>
      </c>
      <c r="E420" t="s">
        <v>62</v>
      </c>
      <c r="F420" t="s">
        <v>577</v>
      </c>
      <c r="G420" s="6" t="s">
        <v>5</v>
      </c>
      <c r="H420" s="6"/>
      <c r="I420" s="6"/>
      <c r="J420" s="6"/>
      <c r="K420" s="6"/>
      <c r="L420" s="6"/>
      <c r="M420" s="6" t="s">
        <v>5</v>
      </c>
      <c r="N420" s="5" t="s">
        <v>929</v>
      </c>
    </row>
    <row r="421" spans="1:15">
      <c r="A421" s="11">
        <v>46072</v>
      </c>
      <c r="B421" s="11" t="s">
        <v>871</v>
      </c>
      <c r="C421" s="11">
        <v>46078</v>
      </c>
      <c r="D421" t="s">
        <v>2</v>
      </c>
      <c r="E421" t="s">
        <v>61</v>
      </c>
      <c r="F421" t="s">
        <v>620</v>
      </c>
      <c r="G421" s="3" t="s">
        <v>5</v>
      </c>
    </row>
    <row r="422" spans="1:15">
      <c r="A422" s="11">
        <v>46072</v>
      </c>
      <c r="B422" s="11" t="s">
        <v>871</v>
      </c>
      <c r="D422" t="s">
        <v>2</v>
      </c>
      <c r="E422" t="s">
        <v>60</v>
      </c>
      <c r="F422" t="s">
        <v>596</v>
      </c>
      <c r="G422" s="3" t="s">
        <v>5</v>
      </c>
    </row>
    <row r="423" spans="1:15">
      <c r="A423" s="11">
        <v>46072</v>
      </c>
      <c r="B423" s="11" t="s">
        <v>871</v>
      </c>
    </row>
    <row r="424" spans="1:15">
      <c r="A424" s="11">
        <v>46072</v>
      </c>
      <c r="B424" s="11" t="s">
        <v>871</v>
      </c>
      <c r="D424" t="s">
        <v>8</v>
      </c>
      <c r="E424" t="s">
        <v>61</v>
      </c>
      <c r="F424" t="s">
        <v>572</v>
      </c>
      <c r="M424" s="3" t="s">
        <v>5</v>
      </c>
    </row>
    <row r="425" spans="1:15">
      <c r="A425" s="13">
        <v>46072</v>
      </c>
      <c r="B425" s="11" t="s">
        <v>871</v>
      </c>
      <c r="C425" s="13"/>
      <c r="D425" t="s">
        <v>8</v>
      </c>
      <c r="E425" t="s">
        <v>56</v>
      </c>
      <c r="F425" t="s">
        <v>175</v>
      </c>
      <c r="G425" s="4" t="s">
        <v>5</v>
      </c>
      <c r="H425" s="4"/>
      <c r="I425" s="4"/>
      <c r="J425" s="4"/>
      <c r="K425" s="4"/>
      <c r="L425" s="4"/>
      <c r="M425" s="4"/>
      <c r="N425" s="2"/>
    </row>
    <row r="426" spans="1:15">
      <c r="A426" s="13">
        <v>46072</v>
      </c>
      <c r="B426" s="11" t="s">
        <v>871</v>
      </c>
      <c r="C426" s="13"/>
      <c r="D426" t="s">
        <v>0</v>
      </c>
      <c r="E426" t="s">
        <v>54</v>
      </c>
      <c r="F426" t="s">
        <v>487</v>
      </c>
      <c r="G426" s="4"/>
      <c r="H426" s="4"/>
      <c r="I426" s="4"/>
      <c r="J426" s="4"/>
      <c r="K426" s="4"/>
      <c r="L426" s="4"/>
      <c r="M426" s="4"/>
      <c r="N426" s="2"/>
    </row>
    <row r="427" spans="1:15">
      <c r="A427" s="13">
        <v>46072</v>
      </c>
      <c r="B427" s="11" t="s">
        <v>871</v>
      </c>
      <c r="C427" s="13"/>
      <c r="D427" t="s">
        <v>0</v>
      </c>
      <c r="E427" t="s">
        <v>897</v>
      </c>
      <c r="F427" t="s">
        <v>152</v>
      </c>
      <c r="G427" s="4"/>
      <c r="H427" s="4"/>
      <c r="I427" s="4"/>
      <c r="J427" s="4"/>
      <c r="K427" s="4"/>
      <c r="L427" s="4" t="s">
        <v>5</v>
      </c>
      <c r="M427" s="4"/>
      <c r="N427" s="2" t="s">
        <v>904</v>
      </c>
    </row>
    <row r="428" spans="1:15">
      <c r="A428" s="13">
        <v>46072</v>
      </c>
      <c r="B428" s="11" t="s">
        <v>871</v>
      </c>
      <c r="C428" s="13"/>
      <c r="D428" t="s">
        <v>2</v>
      </c>
      <c r="E428" t="s">
        <v>902</v>
      </c>
      <c r="F428" t="s">
        <v>55</v>
      </c>
      <c r="G428" s="4"/>
      <c r="H428" s="4"/>
      <c r="I428" s="4"/>
      <c r="J428" s="4"/>
      <c r="K428" s="4"/>
      <c r="L428" s="4"/>
      <c r="M428" s="4"/>
      <c r="N428" s="2" t="s">
        <v>903</v>
      </c>
    </row>
    <row r="429" spans="1:15">
      <c r="A429" s="13">
        <v>46071</v>
      </c>
      <c r="B429" s="11" t="s">
        <v>871</v>
      </c>
      <c r="C429" s="13"/>
      <c r="D429" t="s">
        <v>0</v>
      </c>
      <c r="E429" t="s">
        <v>897</v>
      </c>
      <c r="F429" t="s">
        <v>776</v>
      </c>
      <c r="G429" s="4"/>
      <c r="H429" s="4"/>
      <c r="I429" s="4"/>
      <c r="J429" s="4"/>
      <c r="K429" s="4"/>
      <c r="L429" s="4"/>
      <c r="M429" s="4"/>
      <c r="N429" s="2" t="s">
        <v>901</v>
      </c>
    </row>
    <row r="430" spans="1:15">
      <c r="A430" s="13">
        <v>46071</v>
      </c>
      <c r="B430" s="11" t="s">
        <v>871</v>
      </c>
      <c r="C430" s="13"/>
      <c r="D430" t="s">
        <v>0</v>
      </c>
      <c r="E430" t="s">
        <v>54</v>
      </c>
      <c r="F430" t="s">
        <v>487</v>
      </c>
      <c r="G430" s="4" t="s">
        <v>5</v>
      </c>
      <c r="H430" s="4"/>
      <c r="I430" s="4"/>
      <c r="J430" s="4"/>
      <c r="K430" s="4"/>
      <c r="L430" s="4"/>
      <c r="M430" s="4"/>
      <c r="N430" s="2"/>
    </row>
    <row r="431" spans="1:15">
      <c r="A431" s="12">
        <v>46071</v>
      </c>
      <c r="B431" s="11" t="s">
        <v>871</v>
      </c>
      <c r="C431" s="12"/>
      <c r="D431" t="s">
        <v>0</v>
      </c>
      <c r="E431" t="s">
        <v>52</v>
      </c>
      <c r="F431" t="s">
        <v>138</v>
      </c>
      <c r="G431" s="6"/>
      <c r="H431" s="6"/>
      <c r="I431" s="6"/>
      <c r="J431" s="6"/>
      <c r="K431" s="6"/>
      <c r="L431" s="6"/>
      <c r="M431" s="6"/>
      <c r="N431" s="5"/>
    </row>
    <row r="432" spans="1:15">
      <c r="A432" s="11">
        <v>46070</v>
      </c>
      <c r="B432" s="11" t="s">
        <v>871</v>
      </c>
      <c r="D432" t="s">
        <v>2</v>
      </c>
      <c r="E432" t="s">
        <v>900</v>
      </c>
      <c r="F432" t="s">
        <v>375</v>
      </c>
      <c r="O432" t="s">
        <v>63</v>
      </c>
    </row>
    <row r="433" spans="1:15">
      <c r="A433" s="11">
        <v>46070</v>
      </c>
      <c r="B433" s="11" t="s">
        <v>871</v>
      </c>
      <c r="D433" t="s">
        <v>2</v>
      </c>
      <c r="E433" t="s">
        <v>48</v>
      </c>
      <c r="F433" t="s">
        <v>697</v>
      </c>
      <c r="I433" s="3" t="s">
        <v>5</v>
      </c>
      <c r="N433" t="s">
        <v>50</v>
      </c>
    </row>
    <row r="434" spans="1:15">
      <c r="A434" s="11">
        <v>46070</v>
      </c>
      <c r="B434" s="11" t="s">
        <v>871</v>
      </c>
      <c r="D434" t="s">
        <v>0</v>
      </c>
      <c r="E434" t="s">
        <v>47</v>
      </c>
      <c r="F434" t="s">
        <v>46</v>
      </c>
      <c r="I434" s="3" t="s">
        <v>5</v>
      </c>
      <c r="N434" t="s">
        <v>53</v>
      </c>
    </row>
    <row r="435" spans="1:15">
      <c r="A435" s="13">
        <v>46070</v>
      </c>
      <c r="B435" s="11" t="s">
        <v>871</v>
      </c>
      <c r="C435" s="13"/>
      <c r="D435" t="s">
        <v>0</v>
      </c>
      <c r="E435" t="s">
        <v>45</v>
      </c>
      <c r="F435" t="s">
        <v>152</v>
      </c>
      <c r="G435" s="4"/>
      <c r="H435" s="4"/>
      <c r="I435" s="4" t="s">
        <v>5</v>
      </c>
      <c r="J435" s="4"/>
      <c r="K435" s="4"/>
      <c r="L435" s="4"/>
      <c r="M435" s="4"/>
      <c r="N435" s="2"/>
      <c r="O435" t="s">
        <v>44</v>
      </c>
    </row>
    <row r="436" spans="1:15">
      <c r="A436" s="13">
        <v>46070</v>
      </c>
      <c r="B436" s="11" t="s">
        <v>871</v>
      </c>
      <c r="C436" s="13"/>
      <c r="D436" t="s">
        <v>0</v>
      </c>
      <c r="E436" t="s">
        <v>897</v>
      </c>
      <c r="F436" t="s">
        <v>129</v>
      </c>
      <c r="G436" s="4"/>
      <c r="H436" s="4"/>
      <c r="I436" s="4"/>
      <c r="J436" s="4"/>
      <c r="K436" s="4"/>
      <c r="L436" s="4"/>
      <c r="M436" s="4"/>
      <c r="N436" s="2" t="s">
        <v>42</v>
      </c>
    </row>
    <row r="437" spans="1:15">
      <c r="A437" s="13">
        <v>46070</v>
      </c>
      <c r="B437" s="11" t="s">
        <v>871</v>
      </c>
      <c r="C437" s="13"/>
      <c r="D437" t="s">
        <v>0</v>
      </c>
      <c r="E437" t="s">
        <v>41</v>
      </c>
      <c r="F437" t="s">
        <v>705</v>
      </c>
      <c r="G437" s="4"/>
      <c r="H437" s="4" t="s">
        <v>5</v>
      </c>
      <c r="I437" s="4"/>
      <c r="J437" s="4"/>
      <c r="K437" s="4"/>
      <c r="L437" s="4"/>
      <c r="M437" s="4"/>
      <c r="N437" s="2"/>
    </row>
    <row r="438" spans="1:15">
      <c r="A438" s="13">
        <v>46069</v>
      </c>
      <c r="B438" s="11" t="s">
        <v>871</v>
      </c>
      <c r="C438" s="13"/>
      <c r="D438" s="2"/>
      <c r="E438" t="s">
        <v>37</v>
      </c>
      <c r="F438" t="s">
        <v>496</v>
      </c>
      <c r="G438" s="4"/>
      <c r="H438" s="4"/>
      <c r="I438" s="4"/>
      <c r="J438" s="4"/>
      <c r="K438" s="4"/>
      <c r="L438" s="4"/>
      <c r="M438" s="4"/>
      <c r="N438" s="2" t="s">
        <v>38</v>
      </c>
    </row>
    <row r="439" spans="1:15">
      <c r="A439" s="13">
        <v>46069</v>
      </c>
      <c r="B439" s="11" t="s">
        <v>871</v>
      </c>
      <c r="C439" s="13"/>
      <c r="D439" t="s">
        <v>8</v>
      </c>
      <c r="E439" t="s">
        <v>35</v>
      </c>
      <c r="F439" t="s">
        <v>318</v>
      </c>
      <c r="G439" s="4" t="s">
        <v>5</v>
      </c>
      <c r="H439" s="4" t="s">
        <v>5</v>
      </c>
      <c r="I439" s="4"/>
      <c r="J439" s="4"/>
      <c r="K439" s="4" t="s">
        <v>5</v>
      </c>
      <c r="L439" s="4"/>
      <c r="M439" s="4" t="s">
        <v>5</v>
      </c>
      <c r="N439" s="2"/>
    </row>
    <row r="440" spans="1:15">
      <c r="A440" s="11">
        <v>46069</v>
      </c>
      <c r="B440" s="11" t="s">
        <v>871</v>
      </c>
      <c r="D440" t="s">
        <v>2</v>
      </c>
      <c r="E440" t="s">
        <v>34</v>
      </c>
      <c r="F440" t="s">
        <v>559</v>
      </c>
      <c r="I440" s="4" t="s">
        <v>5</v>
      </c>
      <c r="N440" t="s">
        <v>40</v>
      </c>
    </row>
    <row r="441" spans="1:15">
      <c r="A441" s="13">
        <v>46066</v>
      </c>
      <c r="B441" s="11" t="s">
        <v>871</v>
      </c>
      <c r="C441" s="13"/>
      <c r="D441" t="s">
        <v>2</v>
      </c>
      <c r="E441" t="s">
        <v>29</v>
      </c>
      <c r="F441" t="s">
        <v>747</v>
      </c>
      <c r="G441" s="4"/>
      <c r="H441" s="4"/>
      <c r="I441" s="4"/>
      <c r="J441" s="4"/>
      <c r="K441" s="4"/>
      <c r="L441" s="4"/>
      <c r="M441" s="4"/>
      <c r="N441" s="2" t="s">
        <v>43</v>
      </c>
      <c r="O441" t="s">
        <v>17</v>
      </c>
    </row>
    <row r="442" spans="1:15">
      <c r="A442" s="13">
        <v>46066</v>
      </c>
      <c r="B442" s="11" t="s">
        <v>871</v>
      </c>
      <c r="C442" s="13"/>
      <c r="D442" t="s">
        <v>2</v>
      </c>
      <c r="E442" t="s">
        <v>30</v>
      </c>
      <c r="F442" t="s">
        <v>557</v>
      </c>
      <c r="G442" s="4" t="s">
        <v>5</v>
      </c>
      <c r="H442" s="4" t="s">
        <v>5</v>
      </c>
      <c r="I442" s="4" t="s">
        <v>5</v>
      </c>
      <c r="J442" s="4" t="s">
        <v>5</v>
      </c>
      <c r="K442" s="4"/>
      <c r="L442" s="4"/>
      <c r="M442" s="4"/>
      <c r="N442" s="2"/>
    </row>
    <row r="443" spans="1:15">
      <c r="A443" s="11">
        <v>46066</v>
      </c>
      <c r="B443" s="11" t="s">
        <v>871</v>
      </c>
      <c r="D443" t="s">
        <v>0</v>
      </c>
      <c r="E443" t="s">
        <v>28</v>
      </c>
      <c r="F443" t="s">
        <v>578</v>
      </c>
      <c r="G443" s="3" t="s">
        <v>5</v>
      </c>
      <c r="I443" s="3" t="s">
        <v>5</v>
      </c>
      <c r="K443" s="3" t="s">
        <v>5</v>
      </c>
      <c r="M443" s="3" t="s">
        <v>5</v>
      </c>
      <c r="N443" t="s">
        <v>68</v>
      </c>
    </row>
    <row r="444" spans="1:15">
      <c r="A444" s="13">
        <v>46064</v>
      </c>
      <c r="B444" s="11" t="s">
        <v>881</v>
      </c>
      <c r="C444" s="13"/>
      <c r="D444" t="s">
        <v>0</v>
      </c>
      <c r="E444" t="s">
        <v>24</v>
      </c>
      <c r="F444" t="s">
        <v>269</v>
      </c>
      <c r="G444" s="4"/>
      <c r="H444" s="4"/>
      <c r="I444" s="4" t="s">
        <v>5</v>
      </c>
      <c r="J444" s="4"/>
      <c r="K444" s="4"/>
      <c r="L444" s="4"/>
      <c r="M444" s="4"/>
      <c r="N444" s="2" t="s">
        <v>27</v>
      </c>
    </row>
    <row r="445" spans="1:15">
      <c r="A445" s="13">
        <v>46064</v>
      </c>
      <c r="B445" s="11" t="s">
        <v>871</v>
      </c>
      <c r="C445" s="13"/>
      <c r="D445" t="s">
        <v>0</v>
      </c>
      <c r="E445" t="s">
        <v>897</v>
      </c>
      <c r="F445" t="s">
        <v>174</v>
      </c>
      <c r="G445" s="4"/>
      <c r="H445" s="4"/>
      <c r="I445" s="4"/>
      <c r="J445" s="4"/>
      <c r="K445" s="4"/>
      <c r="L445" s="4"/>
      <c r="M445" s="4"/>
      <c r="N445" s="2"/>
    </row>
    <row r="446" spans="1:15">
      <c r="A446" s="13">
        <v>46064</v>
      </c>
      <c r="B446" s="11" t="s">
        <v>881</v>
      </c>
      <c r="C446" s="13"/>
      <c r="D446" t="s">
        <v>2</v>
      </c>
      <c r="E446" t="s">
        <v>22</v>
      </c>
      <c r="F446" t="s">
        <v>747</v>
      </c>
      <c r="G446" s="4"/>
      <c r="H446" s="4"/>
      <c r="I446" s="4"/>
      <c r="J446" s="4"/>
      <c r="K446" s="4"/>
      <c r="L446" s="4"/>
      <c r="M446" s="4"/>
      <c r="N446" s="2" t="s">
        <v>59</v>
      </c>
    </row>
    <row r="447" spans="1:15">
      <c r="A447" s="13">
        <v>46064</v>
      </c>
      <c r="B447" s="11" t="s">
        <v>881</v>
      </c>
      <c r="C447" s="13"/>
      <c r="D447" t="s">
        <v>8</v>
      </c>
      <c r="E447" t="s">
        <v>894</v>
      </c>
      <c r="F447" t="s">
        <v>318</v>
      </c>
      <c r="G447" s="4" t="s">
        <v>5</v>
      </c>
      <c r="H447" s="4"/>
      <c r="I447" s="4"/>
      <c r="J447" s="4"/>
      <c r="K447" s="4"/>
      <c r="L447" s="4"/>
      <c r="M447" s="4"/>
      <c r="N447" s="2" t="s">
        <v>26</v>
      </c>
      <c r="O447" t="s">
        <v>32</v>
      </c>
    </row>
    <row r="448" spans="1:15">
      <c r="A448" s="13">
        <v>46064</v>
      </c>
      <c r="B448" s="11" t="s">
        <v>871</v>
      </c>
      <c r="C448" s="13"/>
      <c r="D448" t="s">
        <v>2</v>
      </c>
      <c r="E448" t="s">
        <v>4</v>
      </c>
      <c r="F448" t="s">
        <v>811</v>
      </c>
      <c r="G448" s="4" t="s">
        <v>5</v>
      </c>
      <c r="H448" s="4"/>
      <c r="I448" s="4"/>
      <c r="J448" s="4"/>
      <c r="K448" s="4"/>
      <c r="L448" s="4"/>
      <c r="M448" s="4"/>
      <c r="N448" s="2"/>
    </row>
    <row r="449" spans="1:15">
      <c r="A449" s="13">
        <v>46063</v>
      </c>
      <c r="B449" s="11" t="s">
        <v>871</v>
      </c>
      <c r="C449" s="13"/>
      <c r="D449" t="s">
        <v>0</v>
      </c>
      <c r="E449" t="s">
        <v>897</v>
      </c>
      <c r="F449" t="s">
        <v>720</v>
      </c>
      <c r="G449" s="4"/>
      <c r="H449" s="4"/>
      <c r="I449" s="4"/>
      <c r="J449" s="4"/>
      <c r="K449" s="4"/>
      <c r="L449" s="4"/>
      <c r="M449" s="4"/>
      <c r="N449" s="2" t="s">
        <v>896</v>
      </c>
    </row>
    <row r="450" spans="1:15">
      <c r="A450" s="13">
        <v>46063</v>
      </c>
      <c r="B450" s="11" t="s">
        <v>871</v>
      </c>
      <c r="C450" s="13"/>
      <c r="D450" t="s">
        <v>0</v>
      </c>
      <c r="E450" t="s">
        <v>897</v>
      </c>
      <c r="F450" t="s">
        <v>407</v>
      </c>
      <c r="G450" s="4"/>
      <c r="H450" s="4"/>
      <c r="I450" s="4"/>
      <c r="J450" s="4"/>
      <c r="K450" s="4"/>
      <c r="L450" s="4"/>
      <c r="M450" s="4"/>
      <c r="N450" s="2" t="s">
        <v>895</v>
      </c>
    </row>
    <row r="451" spans="1:15">
      <c r="A451" s="13">
        <v>46062</v>
      </c>
      <c r="B451" s="11" t="s">
        <v>871</v>
      </c>
      <c r="C451" s="13"/>
      <c r="D451" t="s">
        <v>2</v>
      </c>
      <c r="E451" t="s">
        <v>21</v>
      </c>
      <c r="F451" t="s">
        <v>747</v>
      </c>
      <c r="G451" s="4"/>
      <c r="H451" s="4" t="s">
        <v>5</v>
      </c>
      <c r="I451" s="4"/>
      <c r="J451" s="4"/>
      <c r="K451" s="4"/>
      <c r="L451" s="4"/>
      <c r="M451" s="4"/>
      <c r="N451" s="2"/>
    </row>
    <row r="452" spans="1:15">
      <c r="A452" s="13">
        <v>46062</v>
      </c>
      <c r="B452" s="11" t="s">
        <v>871</v>
      </c>
      <c r="C452" s="13"/>
      <c r="D452" t="s">
        <v>0</v>
      </c>
      <c r="E452" t="s">
        <v>1</v>
      </c>
      <c r="F452" t="s">
        <v>386</v>
      </c>
      <c r="G452" s="4"/>
      <c r="H452" s="4"/>
      <c r="I452" s="4" t="s">
        <v>5</v>
      </c>
      <c r="J452" s="4"/>
      <c r="K452" s="4"/>
      <c r="L452" s="4"/>
      <c r="M452" s="4"/>
      <c r="N452" s="2"/>
    </row>
    <row r="453" spans="1:15">
      <c r="A453" s="13">
        <v>46062</v>
      </c>
      <c r="B453" s="11" t="s">
        <v>871</v>
      </c>
      <c r="C453" s="13"/>
      <c r="D453" t="s">
        <v>2</v>
      </c>
      <c r="E453" t="s">
        <v>14</v>
      </c>
      <c r="F453" t="s">
        <v>557</v>
      </c>
      <c r="G453" s="4" t="s">
        <v>5</v>
      </c>
      <c r="H453" s="4"/>
      <c r="I453" s="4"/>
      <c r="J453" s="4"/>
      <c r="K453" s="4"/>
      <c r="L453" s="4"/>
      <c r="M453" s="4"/>
      <c r="N453" s="2"/>
    </row>
    <row r="454" spans="1:15">
      <c r="A454" s="13">
        <v>46062</v>
      </c>
      <c r="B454" s="11" t="s">
        <v>871</v>
      </c>
      <c r="C454" s="13"/>
      <c r="D454" t="s">
        <v>2</v>
      </c>
      <c r="E454" t="s">
        <v>18</v>
      </c>
      <c r="F454" t="s">
        <v>362</v>
      </c>
      <c r="G454" s="4" t="s">
        <v>5</v>
      </c>
      <c r="H454" s="4"/>
      <c r="I454" s="4" t="s">
        <v>5</v>
      </c>
      <c r="J454" s="4"/>
      <c r="K454" s="4"/>
      <c r="L454" s="4" t="s">
        <v>5</v>
      </c>
      <c r="M454" s="4"/>
      <c r="N454" s="2"/>
    </row>
    <row r="455" spans="1:15">
      <c r="A455" s="13">
        <v>46059</v>
      </c>
      <c r="B455" s="11" t="s">
        <v>871</v>
      </c>
      <c r="C455" s="13"/>
      <c r="D455" t="s">
        <v>2</v>
      </c>
      <c r="E455" t="s">
        <v>19</v>
      </c>
      <c r="F455" t="s">
        <v>812</v>
      </c>
      <c r="G455" s="4" t="s">
        <v>5</v>
      </c>
      <c r="H455" s="4" t="s">
        <v>5</v>
      </c>
      <c r="I455" s="4" t="s">
        <v>5</v>
      </c>
      <c r="J455" s="4"/>
      <c r="K455" s="4"/>
      <c r="L455" s="4"/>
      <c r="M455" s="4" t="s">
        <v>5</v>
      </c>
      <c r="N455" s="2"/>
      <c r="O455" t="s">
        <v>33</v>
      </c>
    </row>
    <row r="456" spans="1:15">
      <c r="A456" s="13">
        <v>46059</v>
      </c>
      <c r="B456" s="11" t="s">
        <v>871</v>
      </c>
      <c r="C456" s="13"/>
      <c r="D456" t="s">
        <v>0</v>
      </c>
      <c r="E456" t="s">
        <v>20</v>
      </c>
      <c r="F456" t="s">
        <v>499</v>
      </c>
      <c r="G456" s="4"/>
      <c r="H456" s="4"/>
      <c r="I456" s="4" t="s">
        <v>5</v>
      </c>
      <c r="J456" s="4"/>
      <c r="K456" s="4"/>
      <c r="L456" s="4"/>
      <c r="M456" s="4"/>
      <c r="N456" s="2" t="s">
        <v>25</v>
      </c>
    </row>
    <row r="457" spans="1:15">
      <c r="A457" s="11">
        <v>46057</v>
      </c>
      <c r="B457" s="11" t="s">
        <v>871</v>
      </c>
      <c r="D457" t="s">
        <v>36</v>
      </c>
      <c r="E457" t="s">
        <v>16</v>
      </c>
      <c r="F457" t="s">
        <v>137</v>
      </c>
      <c r="G457" s="3" t="s">
        <v>5</v>
      </c>
      <c r="M457" s="3" t="s">
        <v>5</v>
      </c>
      <c r="N457" t="s">
        <v>23</v>
      </c>
      <c r="O457" t="s">
        <v>971</v>
      </c>
    </row>
    <row r="458" spans="1:15">
      <c r="A458" s="13">
        <v>46057</v>
      </c>
      <c r="B458" s="11" t="s">
        <v>871</v>
      </c>
      <c r="C458" s="13"/>
      <c r="D458" t="s">
        <v>0</v>
      </c>
      <c r="E458" t="s">
        <v>9</v>
      </c>
      <c r="F458" t="s">
        <v>138</v>
      </c>
      <c r="G458" s="4"/>
      <c r="H458" s="4" t="s">
        <v>5</v>
      </c>
      <c r="I458" s="4" t="s">
        <v>5</v>
      </c>
      <c r="J458" s="4"/>
      <c r="K458" s="4"/>
      <c r="L458" s="4"/>
      <c r="M458" s="4"/>
      <c r="N458" s="2"/>
    </row>
    <row r="459" spans="1:15">
      <c r="A459" s="12">
        <v>46056</v>
      </c>
      <c r="B459" s="11" t="s">
        <v>871</v>
      </c>
      <c r="C459" s="12">
        <v>46079</v>
      </c>
      <c r="D459" t="s">
        <v>2</v>
      </c>
      <c r="E459" t="s">
        <v>899</v>
      </c>
      <c r="F459" t="s">
        <v>475</v>
      </c>
      <c r="G459" s="6"/>
      <c r="H459" s="6"/>
      <c r="I459" s="6" t="s">
        <v>5</v>
      </c>
      <c r="J459" s="6"/>
      <c r="K459" s="6"/>
      <c r="L459" s="6"/>
      <c r="M459" s="6"/>
      <c r="N459" s="5" t="s">
        <v>898</v>
      </c>
    </row>
    <row r="460" spans="1:15">
      <c r="A460" s="11">
        <v>46056</v>
      </c>
      <c r="B460" s="11" t="s">
        <v>871</v>
      </c>
      <c r="D460" t="s">
        <v>0</v>
      </c>
      <c r="E460" t="s">
        <v>7</v>
      </c>
      <c r="F460" t="s">
        <v>577</v>
      </c>
      <c r="G460" s="3" t="s">
        <v>5</v>
      </c>
      <c r="I460" s="3" t="s">
        <v>5</v>
      </c>
      <c r="N460" t="s">
        <v>12</v>
      </c>
      <c r="O460" t="s">
        <v>17</v>
      </c>
    </row>
    <row r="461" spans="1:15">
      <c r="A461" s="11">
        <v>46056</v>
      </c>
      <c r="B461" s="11" t="s">
        <v>871</v>
      </c>
      <c r="D461" t="s">
        <v>0</v>
      </c>
      <c r="E461" t="s">
        <v>6</v>
      </c>
      <c r="F461" t="s">
        <v>577</v>
      </c>
      <c r="G461" s="3" t="s">
        <v>5</v>
      </c>
      <c r="H461" s="3" t="s">
        <v>5</v>
      </c>
      <c r="I461" s="3" t="s">
        <v>5</v>
      </c>
      <c r="J461" s="4" t="s">
        <v>5</v>
      </c>
      <c r="N461" t="s">
        <v>39</v>
      </c>
    </row>
    <row r="462" spans="1:15">
      <c r="A462" s="13">
        <v>46038</v>
      </c>
      <c r="B462" s="11" t="s">
        <v>871</v>
      </c>
      <c r="C462" s="13"/>
      <c r="D462" t="s">
        <v>2</v>
      </c>
      <c r="E462" t="s">
        <v>3</v>
      </c>
      <c r="F462" t="s">
        <v>747</v>
      </c>
      <c r="G462" s="4" t="s">
        <v>5</v>
      </c>
      <c r="H462" s="4" t="s">
        <v>5</v>
      </c>
      <c r="I462" s="4"/>
      <c r="J462" s="4"/>
      <c r="K462" s="4"/>
      <c r="L462" s="4"/>
      <c r="M462" s="4"/>
      <c r="N462" s="2"/>
    </row>
    <row r="463" spans="1:15">
      <c r="A463" s="13"/>
      <c r="B463" s="11" t="s">
        <v>871</v>
      </c>
      <c r="C463" s="13"/>
      <c r="D463" t="s">
        <v>0</v>
      </c>
      <c r="E463" t="s">
        <v>13</v>
      </c>
      <c r="F463" t="s">
        <v>499</v>
      </c>
      <c r="G463" s="4"/>
      <c r="H463" s="4" t="s">
        <v>5</v>
      </c>
      <c r="I463" s="4" t="s">
        <v>5</v>
      </c>
      <c r="J463" s="4"/>
      <c r="K463" s="4"/>
      <c r="L463" s="4"/>
      <c r="M463" s="4"/>
      <c r="N463" s="2"/>
    </row>
    <row r="464" spans="1:15">
      <c r="A464" s="13"/>
      <c r="B464" s="11" t="s">
        <v>871</v>
      </c>
      <c r="C464" s="13"/>
      <c r="D464" t="s">
        <v>0</v>
      </c>
      <c r="E464" t="s">
        <v>15</v>
      </c>
      <c r="F464" t="s">
        <v>269</v>
      </c>
      <c r="G464" s="4"/>
      <c r="H464" s="4" t="s">
        <v>5</v>
      </c>
      <c r="I464" s="4"/>
      <c r="J464" s="4"/>
      <c r="K464" s="4"/>
      <c r="L464" s="4"/>
      <c r="M464" s="4"/>
      <c r="N464" s="2"/>
    </row>
  </sheetData>
  <sortState xmlns:xlrd2="http://schemas.microsoft.com/office/spreadsheetml/2017/richdata2" ref="A415:N464">
    <sortCondition descending="1" ref="A415:A464"/>
  </sortState>
  <mergeCells count="1">
    <mergeCell ref="G414:N414"/>
  </mergeCells>
  <conditionalFormatting sqref="C1:C1048576">
    <cfRule type="expression" dxfId="7" priority="2">
      <formula>AND($C1-TODAY()&lt;=3,ISNUMBER($C1))</formula>
    </cfRule>
    <cfRule type="expression" dxfId="6" priority="6">
      <formula>AND($C1-TODAY()&lt;=5,ISNUMBER($C1))</formula>
    </cfRule>
  </conditionalFormatting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40AD776D-0D65-4C54-8152-20AE6B67F7FA}">
            <xm:f>$B1=data!$C$4</xm:f>
            <x14:dxf>
              <fill>
                <patternFill>
                  <bgColor rgb="FFFFC000"/>
                </patternFill>
              </fill>
            </x14:dxf>
          </x14:cfRule>
          <xm:sqref>A1:N413 A414:G414 O395 A415:N1048576</xm:sqref>
        </x14:conditionalFormatting>
        <x14:conditionalFormatting xmlns:xm="http://schemas.microsoft.com/office/excel/2006/main">
          <x14:cfRule type="expression" priority="1" id="{2DB0E7A6-5B74-49AF-8E4A-4B45BF4F8FAB}">
            <xm:f>$B1=data!$C$2</xm:f>
            <x14:dxf>
              <fill>
                <patternFill>
                  <bgColor rgb="FF00B050"/>
                </patternFill>
              </fill>
            </x14:dxf>
          </x14:cfRule>
          <x14:cfRule type="expression" priority="8" id="{EAFFD294-BF7C-474B-A1F6-5E49AB3DAB53}">
            <xm:f>$B1=data!$C$3</xm:f>
            <x14:dxf>
              <fill>
                <patternFill>
                  <bgColor rgb="FFC00000"/>
                </patternFill>
              </fill>
            </x14:dxf>
          </x14:cfRule>
          <x14:cfRule type="expression" priority="9" id="{70EEA28E-421F-40AF-A8F4-3F133A335EDB}">
            <xm:f>$B1=data!$C$1</xm:f>
            <x14:dxf>
              <fill>
                <patternFill>
                  <bgColor rgb="FF92D050"/>
                </patternFill>
              </fill>
            </x14:dxf>
          </x14:cfRule>
          <xm:sqref>A1:N413 O395 A414:G414 A415:N1048576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8596DE8-3142-43E8-89DD-491569C8D298}">
          <x14:formula1>
            <xm:f>Akce!$A:$A</xm:f>
          </x14:formula1>
          <xm:sqref>E2:E464</xm:sqref>
        </x14:dataValidation>
        <x14:dataValidation type="list" allowBlank="1" showInputMessage="1" showErrorMessage="1" xr:uid="{F160B9F6-0AB0-479F-8946-3BDD2C026692}">
          <x14:formula1>
            <xm:f>data!$B:$B</xm:f>
          </x14:formula1>
          <xm:sqref>D439:D464 D2:D437</xm:sqref>
        </x14:dataValidation>
        <x14:dataValidation type="list" allowBlank="1" showInputMessage="1" showErrorMessage="1" xr:uid="{9CF85470-99DA-46E6-A657-ABFBC1DE4F93}">
          <x14:formula1>
            <xm:f>data!$A:$A</xm:f>
          </x14:formula1>
          <xm:sqref>F2:F464</xm:sqref>
        </x14:dataValidation>
        <x14:dataValidation type="list" allowBlank="1" showInputMessage="1" showErrorMessage="1" xr:uid="{CBB68CE5-F1C9-4BC1-B7B0-F70DE7EFDC0D}">
          <x14:formula1>
            <xm:f>data!$C:$C</xm:f>
          </x14:formula1>
          <xm:sqref>B2:B464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A9D6C-7814-4FE1-AD06-E8739B97EB30}">
  <sheetPr codeName="List2"/>
  <dimension ref="A1:I483"/>
  <sheetViews>
    <sheetView tabSelected="1" workbookViewId="0">
      <selection activeCell="I15" sqref="I15"/>
    </sheetView>
  </sheetViews>
  <sheetFormatPr defaultColWidth="8.85546875" defaultRowHeight="15"/>
  <cols>
    <col min="1" max="1" width="9.5703125" style="15" bestFit="1" customWidth="1"/>
    <col min="2" max="2" width="10.140625" style="17" bestFit="1" customWidth="1"/>
    <col min="3" max="3" width="11" style="17" bestFit="1" customWidth="1"/>
    <col min="4" max="4" width="18.5703125" style="15" bestFit="1" customWidth="1"/>
    <col min="5" max="5" width="24.7109375" style="15" bestFit="1" customWidth="1"/>
    <col min="6" max="6" width="12.85546875" style="15" bestFit="1" customWidth="1"/>
    <col min="7" max="7" width="24.7109375" style="15" customWidth="1"/>
    <col min="8" max="8" width="22.42578125" style="15" customWidth="1"/>
    <col min="9" max="9" width="72.7109375" style="15" customWidth="1"/>
    <col min="10" max="16384" width="8.85546875" style="15"/>
  </cols>
  <sheetData>
    <row r="1" spans="1:9" s="14" customFormat="1" ht="30">
      <c r="A1" s="14" t="s">
        <v>892</v>
      </c>
      <c r="B1" s="16" t="s">
        <v>883</v>
      </c>
      <c r="C1" s="16" t="s">
        <v>884</v>
      </c>
      <c r="D1" s="14" t="s">
        <v>867</v>
      </c>
      <c r="E1" s="14" t="s">
        <v>11</v>
      </c>
      <c r="F1" s="14" t="s">
        <v>910</v>
      </c>
      <c r="G1" s="14" t="s">
        <v>905</v>
      </c>
      <c r="H1" s="14" t="s">
        <v>10</v>
      </c>
      <c r="I1" s="14" t="s">
        <v>915</v>
      </c>
    </row>
    <row r="2" spans="1:9" s="14" customFormat="1">
      <c r="A2" s="15"/>
      <c r="B2" s="17"/>
      <c r="C2" s="17"/>
      <c r="D2" s="15"/>
      <c r="E2" s="15"/>
      <c r="F2" s="15"/>
      <c r="G2" s="15"/>
      <c r="H2" s="15"/>
      <c r="I2" s="15" t="str">
        <f>"Poptávka TURTO - "&amp;A2&amp;" - "&amp;IF(F2=data!$E$2,"",E2&amp;" - ")&amp;G2&amp;" - "&amp;DAY(B2)&amp;"."&amp;MONTH(B2)&amp;"."&amp;YEAR(B2)</f>
        <v>Poptávka TURTO -  -  -  - 0.1.1900</v>
      </c>
    </row>
    <row r="3" spans="1:9" s="14" customFormat="1">
      <c r="A3" s="15" t="s">
        <v>885</v>
      </c>
      <c r="B3" s="17">
        <v>46255</v>
      </c>
      <c r="C3" s="17"/>
      <c r="D3" s="15" t="s">
        <v>577</v>
      </c>
      <c r="E3" s="15" t="s">
        <v>1431</v>
      </c>
      <c r="F3" s="15" t="s">
        <v>911</v>
      </c>
      <c r="G3" s="15" t="s">
        <v>906</v>
      </c>
      <c r="H3" s="15"/>
      <c r="I3" s="15" t="str">
        <f>"Poptávka TURTO - "&amp;A3&amp;" - "&amp;IF(F3=data!$E$1,E3&amp;" - ","")&amp;G3&amp;" - "&amp;DAY(B3)&amp;"."&amp;MONTH(B3)&amp;"."&amp;YEAR(B3)</f>
        <v>Poptávka TURTO - Leviat - BD Košinka - izolační nosníky - 21.8.2026</v>
      </c>
    </row>
    <row r="4" spans="1:9" s="14" customFormat="1">
      <c r="A4" s="15" t="s">
        <v>885</v>
      </c>
      <c r="B4" s="17">
        <v>46255</v>
      </c>
      <c r="C4" s="17"/>
      <c r="D4" s="15" t="s">
        <v>572</v>
      </c>
      <c r="E4" s="15" t="s">
        <v>1418</v>
      </c>
      <c r="F4" s="15" t="s">
        <v>911</v>
      </c>
      <c r="G4" s="15" t="s">
        <v>906</v>
      </c>
      <c r="H4" s="15"/>
      <c r="I4" s="15" t="str">
        <f>"Poptávka TURTO - "&amp;A4&amp;" - "&amp;IF(F4=data!$E$1,E4&amp;" - ","")&amp;G4&amp;" - "&amp;DAY(B4)&amp;"."&amp;MONTH(B4)&amp;"."&amp;YEAR(B4)</f>
        <v>Poptávka TURTO - Leviat - Park Living Holešovice - izolační nosníky - 21.8.2026</v>
      </c>
    </row>
    <row r="5" spans="1:9" s="14" customFormat="1">
      <c r="A5" s="15" t="s">
        <v>888</v>
      </c>
      <c r="B5" s="17">
        <v>46255</v>
      </c>
      <c r="C5" s="17">
        <v>46255</v>
      </c>
      <c r="D5" s="15" t="s">
        <v>331</v>
      </c>
      <c r="E5" s="15" t="s">
        <v>926</v>
      </c>
      <c r="F5" s="15" t="s">
        <v>912</v>
      </c>
      <c r="G5" s="15" t="s">
        <v>909</v>
      </c>
      <c r="H5" s="15"/>
      <c r="I5" s="15" t="str">
        <f>"Poptávka TURTO - "&amp;A5&amp;" - "&amp;IF(F5=data!$E$1,E5&amp;" - ","")&amp;G5&amp;" - "&amp;DAY(B5)&amp;"."&amp;MONTH(B5)&amp;"."&amp;YEAR(B5)</f>
        <v>Poptávka TURTO - GeroTop - prostupy - 21.8.2026</v>
      </c>
    </row>
    <row r="6" spans="1:9" s="14" customFormat="1">
      <c r="A6" s="15" t="s">
        <v>889</v>
      </c>
      <c r="B6" s="17">
        <v>46255</v>
      </c>
      <c r="C6" s="17"/>
      <c r="D6" s="15" t="s">
        <v>577</v>
      </c>
      <c r="E6" s="15" t="s">
        <v>1428</v>
      </c>
      <c r="F6" s="15" t="s">
        <v>911</v>
      </c>
      <c r="G6" s="15" t="s">
        <v>906</v>
      </c>
      <c r="H6" s="15"/>
      <c r="I6" s="15" t="str">
        <f>"Poptávka TURTO - "&amp;A6&amp;" - "&amp;IF(F6=data!$E$1,E6&amp;" - ","")&amp;G6&amp;" - "&amp;DAY(B6)&amp;"."&amp;MONTH(B6)&amp;"."&amp;YEAR(B6)</f>
        <v>Poptávka TURTO - Peikko - Ekorezidence Smíchov - izolační nosníky - 21.8.2026</v>
      </c>
    </row>
    <row r="7" spans="1:9" s="14" customFormat="1" ht="30">
      <c r="A7" s="15" t="s">
        <v>885</v>
      </c>
      <c r="B7" s="17">
        <v>46255</v>
      </c>
      <c r="C7" s="17">
        <v>46255</v>
      </c>
      <c r="D7" s="15" t="s">
        <v>475</v>
      </c>
      <c r="E7" s="15" t="s">
        <v>930</v>
      </c>
      <c r="F7" s="15" t="s">
        <v>911</v>
      </c>
      <c r="G7" s="15" t="s">
        <v>906</v>
      </c>
      <c r="H7" s="15"/>
      <c r="I7" s="15" t="str">
        <f>"Poptávka TURTO - "&amp;A7&amp;" - "&amp;IF(F7=data!$E$1,E7&amp;" - ","")&amp;G7&amp;" - "&amp;DAY(B7)&amp;"."&amp;MONTH(B7)&amp;"."&amp;YEAR(B7)</f>
        <v>Poptávka TURTO - Leviat - Papírna N1 - izolační nosníky - 21.8.2026</v>
      </c>
    </row>
    <row r="8" spans="1:9" s="14" customFormat="1" ht="30">
      <c r="A8" s="15" t="s">
        <v>888</v>
      </c>
      <c r="B8" s="17">
        <v>46254</v>
      </c>
      <c r="C8" s="17">
        <v>46254</v>
      </c>
      <c r="D8" s="15" t="s">
        <v>758</v>
      </c>
      <c r="E8" s="15" t="s">
        <v>926</v>
      </c>
      <c r="F8" s="15" t="s">
        <v>912</v>
      </c>
      <c r="G8" s="15" t="s">
        <v>909</v>
      </c>
      <c r="H8" s="15"/>
      <c r="I8" s="15" t="str">
        <f>"Poptávka TURTO - "&amp;A8&amp;" - "&amp;IF(F8=data!$E$1,E8&amp;" - ","")&amp;G8&amp;" - "&amp;DAY(B8)&amp;"."&amp;MONTH(B8)&amp;"."&amp;YEAR(B8)</f>
        <v>Poptávka TURTO - GeroTop - prostupy - 20.8.2026</v>
      </c>
    </row>
    <row r="9" spans="1:9" s="14" customFormat="1">
      <c r="A9" s="15" t="s">
        <v>891</v>
      </c>
      <c r="B9" s="17">
        <v>46254</v>
      </c>
      <c r="C9" s="17"/>
      <c r="D9" s="15" t="s">
        <v>653</v>
      </c>
      <c r="E9" s="15" t="s">
        <v>1227</v>
      </c>
      <c r="F9" s="15" t="s">
        <v>912</v>
      </c>
      <c r="G9" s="15" t="s">
        <v>913</v>
      </c>
      <c r="H9" s="15"/>
      <c r="I9" s="15" t="str">
        <f>"Poptávka TURTO - "&amp;A9&amp;" - "&amp;IF(F9=data!$E$1,E9&amp;" - ","")&amp;G9&amp;" - "&amp;DAY(B9)&amp;"."&amp;MONTH(B9)&amp;"."&amp;YEAR(B9)</f>
        <v>Poptávka TURTO - Nevoga - vylamovací výztuž - 20.8.2026</v>
      </c>
    </row>
    <row r="10" spans="1:9" s="14" customFormat="1" ht="30">
      <c r="A10" s="15" t="s">
        <v>888</v>
      </c>
      <c r="B10" s="17">
        <v>46253</v>
      </c>
      <c r="C10" s="17">
        <v>46254</v>
      </c>
      <c r="D10" s="15" t="s">
        <v>596</v>
      </c>
      <c r="E10" s="15" t="s">
        <v>1423</v>
      </c>
      <c r="F10" s="15" t="s">
        <v>912</v>
      </c>
      <c r="G10" s="15" t="s">
        <v>909</v>
      </c>
      <c r="H10" s="15"/>
      <c r="I10" s="15" t="str">
        <f>"Poptávka TURTO - "&amp;A10&amp;" - "&amp;IF(F10=data!$E$1,E10&amp;" - ","")&amp;G10&amp;" - "&amp;DAY(B10)&amp;"."&amp;MONTH(B10)&amp;"."&amp;YEAR(B10)</f>
        <v>Poptávka TURTO - GeroTop - prostupy - 19.8.2026</v>
      </c>
    </row>
    <row r="11" spans="1:9" s="14" customFormat="1">
      <c r="A11" s="15" t="s">
        <v>889</v>
      </c>
      <c r="B11" s="17">
        <v>46253</v>
      </c>
      <c r="C11" s="17">
        <v>46255</v>
      </c>
      <c r="D11" s="15" t="s">
        <v>138</v>
      </c>
      <c r="E11" s="15" t="s">
        <v>1421</v>
      </c>
      <c r="F11" s="15" t="s">
        <v>911</v>
      </c>
      <c r="G11" s="15" t="s">
        <v>907</v>
      </c>
      <c r="H11" s="15"/>
      <c r="I11" s="15" t="str">
        <f>"Poptávka TURTO - "&amp;A11&amp;" - "&amp;IF(F11=data!$E$1,E11&amp;" - ","")&amp;G11&amp;" - "&amp;DAY(B11)&amp;"."&amp;MONTH(B11)&amp;"."&amp;YEAR(B11)</f>
        <v>Poptávka TURTO - Peikko - BD Šumavská - smyková výztuž - 19.8.2026</v>
      </c>
    </row>
    <row r="12" spans="1:9" s="14" customFormat="1">
      <c r="A12" s="15" t="s">
        <v>886</v>
      </c>
      <c r="B12" s="17">
        <v>46253</v>
      </c>
      <c r="C12" s="17">
        <v>46253</v>
      </c>
      <c r="D12" s="15" t="s">
        <v>138</v>
      </c>
      <c r="E12" s="15" t="s">
        <v>1421</v>
      </c>
      <c r="F12" s="15" t="s">
        <v>912</v>
      </c>
      <c r="G12" s="15" t="s">
        <v>907</v>
      </c>
      <c r="H12" s="15"/>
      <c r="I12" s="15" t="str">
        <f>"Poptávka TURTO - "&amp;A12&amp;" - "&amp;IF(F12=data!$E$1,E12&amp;" - ","")&amp;G12&amp;" - "&amp;DAY(B12)&amp;"."&amp;MONTH(B12)&amp;"."&amp;YEAR(B12)</f>
        <v>Poptávka TURTO - PohlCon - smyková výztuž - 19.8.2026</v>
      </c>
    </row>
    <row r="13" spans="1:9" s="14" customFormat="1">
      <c r="A13" s="15" t="s">
        <v>885</v>
      </c>
      <c r="B13" s="17">
        <v>46253</v>
      </c>
      <c r="C13" s="17"/>
      <c r="D13" s="15" t="s">
        <v>138</v>
      </c>
      <c r="E13" s="15" t="s">
        <v>1421</v>
      </c>
      <c r="F13" s="15" t="s">
        <v>911</v>
      </c>
      <c r="G13" s="15" t="s">
        <v>907</v>
      </c>
      <c r="H13" s="15"/>
      <c r="I13" s="15" t="str">
        <f>"Poptávka TURTO - "&amp;A13&amp;" - "&amp;IF(F13=data!$E$1,E13&amp;" - ","")&amp;G13&amp;" - "&amp;DAY(B13)&amp;"."&amp;MONTH(B13)&amp;"."&amp;YEAR(B13)</f>
        <v>Poptávka TURTO - Leviat - BD Šumavská - smyková výztuž - 19.8.2026</v>
      </c>
    </row>
    <row r="14" spans="1:9" s="14" customFormat="1">
      <c r="A14" s="15" t="s">
        <v>888</v>
      </c>
      <c r="B14" s="17">
        <v>46253</v>
      </c>
      <c r="C14" s="17">
        <v>46253</v>
      </c>
      <c r="D14" s="15" t="s">
        <v>821</v>
      </c>
      <c r="E14" s="15" t="s">
        <v>926</v>
      </c>
      <c r="F14" s="15" t="s">
        <v>912</v>
      </c>
      <c r="G14" s="15" t="s">
        <v>909</v>
      </c>
      <c r="H14" s="15"/>
      <c r="I14" s="15" t="str">
        <f>"Poptávka TURTO - "&amp;A14&amp;" - "&amp;IF(F14=data!$E$1,E14&amp;" - ","")&amp;G14&amp;" - "&amp;DAY(B14)&amp;"."&amp;MONTH(B14)&amp;"."&amp;YEAR(B14)</f>
        <v>Poptávka TURTO - GeroTop - prostupy - 19.8.2026</v>
      </c>
    </row>
    <row r="15" spans="1:9" s="14" customFormat="1">
      <c r="A15" s="15" t="s">
        <v>888</v>
      </c>
      <c r="B15" s="17">
        <v>46252</v>
      </c>
      <c r="C15" s="17">
        <v>46252</v>
      </c>
      <c r="D15" s="15" t="s">
        <v>80</v>
      </c>
      <c r="E15" s="15"/>
      <c r="F15" s="15" t="s">
        <v>912</v>
      </c>
      <c r="G15" s="15" t="s">
        <v>909</v>
      </c>
      <c r="H15" s="15"/>
      <c r="I15" s="15" t="str">
        <f>"Poptávka TURTO - "&amp;A15&amp;" - "&amp;IF(F15=data!$E$1,E15&amp;" - ","")&amp;G15&amp;" - "&amp;DAY(B15)&amp;"."&amp;MONTH(B15)&amp;"."&amp;YEAR(B15)</f>
        <v>Poptávka TURTO - GeroTop - prostupy - 18.8.2026</v>
      </c>
    </row>
    <row r="16" spans="1:9" s="14" customFormat="1" ht="30">
      <c r="A16" s="15" t="s">
        <v>940</v>
      </c>
      <c r="B16" s="17">
        <v>46251</v>
      </c>
      <c r="C16" s="17">
        <v>46253</v>
      </c>
      <c r="D16" s="15" t="s">
        <v>97</v>
      </c>
      <c r="E16" s="15" t="s">
        <v>1419</v>
      </c>
      <c r="F16" s="15" t="s">
        <v>911</v>
      </c>
      <c r="G16" s="15" t="s">
        <v>941</v>
      </c>
      <c r="H16" s="15"/>
      <c r="I16" s="15" t="str">
        <f>"Poptávka TURTO - "&amp;A16&amp;" - "&amp;IF(F16=data!$E$1,E16&amp;" - ","")&amp;G16&amp;" - "&amp;DAY(B16)&amp;"."&amp;MONTH(B16)&amp;"."&amp;YEAR(B16)</f>
        <v>Poptávka TURTO - JFP TRADE - Ladronka Park - Sylomer - 17.8.2026</v>
      </c>
    </row>
    <row r="17" spans="1:9" s="14" customFormat="1" ht="30">
      <c r="A17" s="15" t="s">
        <v>886</v>
      </c>
      <c r="B17" s="17">
        <v>46251</v>
      </c>
      <c r="C17" s="17">
        <v>46252</v>
      </c>
      <c r="D17" s="15" t="s">
        <v>97</v>
      </c>
      <c r="E17" s="15" t="s">
        <v>1419</v>
      </c>
      <c r="F17" s="15" t="s">
        <v>912</v>
      </c>
      <c r="G17" s="15" t="s">
        <v>907</v>
      </c>
      <c r="H17" s="15"/>
      <c r="I17" s="15" t="str">
        <f>"Poptávka TURTO - "&amp;A17&amp;" - "&amp;IF(F17=data!$E$1,E17&amp;" - ","")&amp;G17&amp;" - "&amp;DAY(B17)&amp;"."&amp;MONTH(B17)&amp;"."&amp;YEAR(B17)</f>
        <v>Poptávka TURTO - PohlCon - smyková výztuž - 17.8.2026</v>
      </c>
    </row>
    <row r="18" spans="1:9" s="14" customFormat="1" ht="30">
      <c r="A18" s="15" t="s">
        <v>885</v>
      </c>
      <c r="B18" s="17">
        <v>46251</v>
      </c>
      <c r="C18" s="17">
        <v>46253</v>
      </c>
      <c r="D18" s="15" t="s">
        <v>97</v>
      </c>
      <c r="E18" s="15" t="s">
        <v>1419</v>
      </c>
      <c r="F18" s="15" t="s">
        <v>911</v>
      </c>
      <c r="G18" s="15" t="s">
        <v>906</v>
      </c>
      <c r="H18" s="15"/>
      <c r="I18" s="15" t="str">
        <f>"Poptávka TURTO - "&amp;A18&amp;" - "&amp;IF(F18=data!$E$1,E18&amp;" - ","")&amp;G18&amp;" - "&amp;DAY(B18)&amp;"."&amp;MONTH(B18)&amp;"."&amp;YEAR(B18)</f>
        <v>Poptávka TURTO - Leviat - Ladronka Park - izolační nosníky - 17.8.2026</v>
      </c>
    </row>
    <row r="19" spans="1:9" s="14" customFormat="1">
      <c r="A19" s="15" t="s">
        <v>885</v>
      </c>
      <c r="B19" s="17">
        <v>46251</v>
      </c>
      <c r="C19" s="17">
        <v>46251</v>
      </c>
      <c r="D19" s="15" t="s">
        <v>572</v>
      </c>
      <c r="E19" s="15" t="s">
        <v>1416</v>
      </c>
      <c r="F19" s="15" t="s">
        <v>911</v>
      </c>
      <c r="G19" s="15" t="s">
        <v>906</v>
      </c>
      <c r="H19" s="15"/>
      <c r="I19" s="15" t="str">
        <f>"Poptávka TURTO - "&amp;A19&amp;" - "&amp;IF(F19=data!$E$1,E19&amp;" - ","")&amp;G19&amp;" - "&amp;DAY(B19)&amp;"."&amp;MONTH(B19)&amp;"."&amp;YEAR(B19)</f>
        <v>Poptávka TURTO - Leviat - BD Hartigova - izolační nosníky - 17.8.2026</v>
      </c>
    </row>
    <row r="20" spans="1:9" s="14" customFormat="1">
      <c r="A20" s="15" t="s">
        <v>885</v>
      </c>
      <c r="B20" s="17">
        <v>46251</v>
      </c>
      <c r="C20" s="17">
        <v>46251</v>
      </c>
      <c r="D20" s="15" t="s">
        <v>578</v>
      </c>
      <c r="E20" s="15" t="s">
        <v>28</v>
      </c>
      <c r="F20" s="15" t="s">
        <v>912</v>
      </c>
      <c r="G20" s="15" t="s">
        <v>1303</v>
      </c>
      <c r="H20" s="15"/>
      <c r="I20" s="15" t="str">
        <f>"Poptávka TURTO - "&amp;A20&amp;" - "&amp;IF(F20=data!$E$1,E20&amp;" - ","")&amp;G20&amp;" - "&amp;DAY(B20)&amp;"."&amp;MONTH(B20)&amp;"."&amp;YEAR(B20)</f>
        <v>Poptávka TURTO - Leviat - Lift-box - 17.8.2026</v>
      </c>
    </row>
    <row r="21" spans="1:9" s="14" customFormat="1" ht="30">
      <c r="A21" s="15" t="s">
        <v>885</v>
      </c>
      <c r="B21" s="17">
        <v>46248</v>
      </c>
      <c r="C21" s="17">
        <v>46248</v>
      </c>
      <c r="D21" s="15" t="s">
        <v>97</v>
      </c>
      <c r="E21" s="15" t="s">
        <v>1412</v>
      </c>
      <c r="F21" s="15" t="s">
        <v>912</v>
      </c>
      <c r="G21" s="15" t="s">
        <v>1043</v>
      </c>
      <c r="H21" s="15"/>
      <c r="I21" s="15" t="str">
        <f>"Poptávka TURTO - "&amp;A21&amp;" - "&amp;IF(F21=data!$E$1,E21&amp;" - ","")&amp;G21&amp;" - "&amp;DAY(B21)&amp;"."&amp;MONTH(B21)&amp;"."&amp;YEAR(B21)</f>
        <v>Poptávka TURTO - Leviat - akustika - 14.8.2026</v>
      </c>
    </row>
    <row r="22" spans="1:9" s="14" customFormat="1" ht="30">
      <c r="A22" s="15" t="s">
        <v>885</v>
      </c>
      <c r="B22" s="17">
        <v>46248</v>
      </c>
      <c r="C22" s="17">
        <v>46252</v>
      </c>
      <c r="D22" s="15" t="s">
        <v>97</v>
      </c>
      <c r="E22" s="15" t="s">
        <v>1412</v>
      </c>
      <c r="F22" s="15" t="s">
        <v>911</v>
      </c>
      <c r="G22" s="15" t="s">
        <v>906</v>
      </c>
      <c r="H22" s="15"/>
      <c r="I22" s="15" t="str">
        <f>"Poptávka TURTO - "&amp;A22&amp;" - "&amp;IF(F22=data!$E$1,E22&amp;" - ","")&amp;G22&amp;" - "&amp;DAY(B22)&amp;"."&amp;MONTH(B22)&amp;"."&amp;YEAR(B22)</f>
        <v>Poptávka TURTO - Leviat - ZŠ Vodňanského - izolační nosníky - 14.8.2026</v>
      </c>
    </row>
    <row r="23" spans="1:9" s="14" customFormat="1" ht="30">
      <c r="A23" s="15" t="s">
        <v>893</v>
      </c>
      <c r="B23" s="17">
        <v>46248</v>
      </c>
      <c r="C23" s="17">
        <v>46248</v>
      </c>
      <c r="D23" s="15" t="s">
        <v>484</v>
      </c>
      <c r="E23" s="15" t="s">
        <v>54</v>
      </c>
      <c r="F23" s="15" t="s">
        <v>912</v>
      </c>
      <c r="G23" s="15" t="s">
        <v>58</v>
      </c>
      <c r="H23" s="15"/>
      <c r="I23" s="15" t="str">
        <f>"Poptávka TURTO - "&amp;A23&amp;" - "&amp;IF(F23=data!$E$1,E23&amp;" - ","")&amp;G23&amp;" - "&amp;DAY(B23)&amp;"."&amp;MONTH(B23)&amp;"."&amp;YEAR(B23)</f>
        <v>Poptávka TURTO - Pragoelast - GR desky - 14.8.2026</v>
      </c>
    </row>
    <row r="24" spans="1:9" s="14" customFormat="1" ht="30">
      <c r="A24" s="15" t="s">
        <v>940</v>
      </c>
      <c r="B24" s="17">
        <v>46247</v>
      </c>
      <c r="C24" s="17">
        <v>46248</v>
      </c>
      <c r="D24" s="15" t="s">
        <v>97</v>
      </c>
      <c r="E24" s="15" t="s">
        <v>1414</v>
      </c>
      <c r="F24" s="15" t="s">
        <v>912</v>
      </c>
      <c r="G24" s="15" t="s">
        <v>941</v>
      </c>
      <c r="H24" s="15"/>
      <c r="I24" s="15" t="str">
        <f>"Poptávka TURTO - "&amp;A24&amp;" - "&amp;IF(F24=data!$E$1,E24&amp;" - ","")&amp;G24&amp;" - "&amp;DAY(B24)&amp;"."&amp;MONTH(B24)&amp;"."&amp;YEAR(B24)</f>
        <v>Poptávka TURTO - JFP TRADE - Sylomer - 13.8.2026</v>
      </c>
    </row>
    <row r="25" spans="1:9" s="14" customFormat="1">
      <c r="A25" s="15" t="s">
        <v>885</v>
      </c>
      <c r="B25" s="17">
        <v>46247</v>
      </c>
      <c r="C25" s="17">
        <v>46248</v>
      </c>
      <c r="D25" s="15" t="s">
        <v>130</v>
      </c>
      <c r="E25" s="15" t="s">
        <v>1413</v>
      </c>
      <c r="F25" s="15" t="s">
        <v>911</v>
      </c>
      <c r="G25" s="15" t="s">
        <v>906</v>
      </c>
      <c r="H25" s="15"/>
      <c r="I25" s="15" t="str">
        <f>"Poptávka TURTO - "&amp;A25&amp;" - "&amp;IF(F25=data!$E$1,E25&amp;" - ","")&amp;G25&amp;" - "&amp;DAY(B25)&amp;"."&amp;MONTH(B25)&amp;"."&amp;YEAR(B25)</f>
        <v>Poptávka TURTO - Leviat - Senovážné náměstí - izolační nosníky - 13.8.2026</v>
      </c>
    </row>
    <row r="26" spans="1:9" s="14" customFormat="1" ht="45">
      <c r="A26" s="15" t="s">
        <v>1166</v>
      </c>
      <c r="B26" s="17">
        <v>46247</v>
      </c>
      <c r="C26" s="17"/>
      <c r="D26" s="15" t="s">
        <v>682</v>
      </c>
      <c r="E26" s="15" t="s">
        <v>1362</v>
      </c>
      <c r="F26" s="15" t="s">
        <v>912</v>
      </c>
      <c r="G26" s="15" t="s">
        <v>1106</v>
      </c>
      <c r="H26" s="15"/>
      <c r="I26" s="15" t="str">
        <f>"Poptávka TURTO - "&amp;A26&amp;" - "&amp;IF(F26=data!$E$1,E26&amp;" - ","")&amp;G26&amp;" - "&amp;DAY(B26)&amp;"."&amp;MONTH(B26)&amp;"."&amp;YEAR(B26)</f>
        <v>Poptávka TURTO - SIKA - PVC pásy - 13.8.2026</v>
      </c>
    </row>
    <row r="27" spans="1:9" s="14" customFormat="1">
      <c r="A27" s="15" t="s">
        <v>889</v>
      </c>
      <c r="B27" s="17">
        <v>46246</v>
      </c>
      <c r="C27" s="17"/>
      <c r="D27" s="15" t="s">
        <v>620</v>
      </c>
      <c r="E27" s="15" t="s">
        <v>61</v>
      </c>
      <c r="F27" s="15" t="s">
        <v>911</v>
      </c>
      <c r="G27" s="15" t="s">
        <v>907</v>
      </c>
      <c r="H27" s="15"/>
      <c r="I27" s="15" t="str">
        <f>"Poptávka TURTO - "&amp;A27&amp;" - "&amp;IF(F27=data!$E$1,E27&amp;" - ","")&amp;G27&amp;" - "&amp;DAY(B27)&amp;"."&amp;MONTH(B27)&amp;"."&amp;YEAR(B27)</f>
        <v>Poptávka TURTO - Peikko - Hotel Hladina - smyková výztuž - 12.8.2026</v>
      </c>
    </row>
    <row r="28" spans="1:9" s="14" customFormat="1">
      <c r="A28" s="15" t="s">
        <v>886</v>
      </c>
      <c r="B28" s="17">
        <v>46246</v>
      </c>
      <c r="C28" s="17">
        <v>46246</v>
      </c>
      <c r="D28" s="15" t="s">
        <v>620</v>
      </c>
      <c r="E28" s="15" t="s">
        <v>61</v>
      </c>
      <c r="F28" s="15" t="s">
        <v>912</v>
      </c>
      <c r="G28" s="15" t="s">
        <v>907</v>
      </c>
      <c r="H28" s="15"/>
      <c r="I28" s="15" t="str">
        <f>"Poptávka TURTO - "&amp;A28&amp;" - "&amp;IF(F28=data!$E$1,E28&amp;" - ","")&amp;G28&amp;" - "&amp;DAY(B28)&amp;"."&amp;MONTH(B28)&amp;"."&amp;YEAR(B28)</f>
        <v>Poptávka TURTO - PohlCon - smyková výztuž - 12.8.2026</v>
      </c>
    </row>
    <row r="29" spans="1:9" s="14" customFormat="1">
      <c r="A29" s="15" t="s">
        <v>888</v>
      </c>
      <c r="B29" s="17">
        <v>46246</v>
      </c>
      <c r="C29" s="17">
        <v>46246</v>
      </c>
      <c r="D29" s="15" t="s">
        <v>678</v>
      </c>
      <c r="E29" s="15" t="s">
        <v>1410</v>
      </c>
      <c r="F29" s="15" t="s">
        <v>912</v>
      </c>
      <c r="G29" s="15" t="s">
        <v>909</v>
      </c>
      <c r="H29" s="15"/>
      <c r="I29" s="15" t="str">
        <f>"Poptávka TURTO - "&amp;A29&amp;" - "&amp;IF(F29=data!$E$1,E29&amp;" - ","")&amp;G29&amp;" - "&amp;DAY(B29)&amp;"."&amp;MONTH(B29)&amp;"."&amp;YEAR(B29)</f>
        <v>Poptávka TURTO - GeroTop - prostupy - 12.8.2026</v>
      </c>
    </row>
    <row r="30" spans="1:9" s="14" customFormat="1">
      <c r="A30" s="15" t="s">
        <v>924</v>
      </c>
      <c r="B30" s="17">
        <v>46246</v>
      </c>
      <c r="C30" s="17">
        <v>46254</v>
      </c>
      <c r="D30" s="15" t="s">
        <v>812</v>
      </c>
      <c r="E30" s="15" t="s">
        <v>19</v>
      </c>
      <c r="F30" s="15" t="s">
        <v>912</v>
      </c>
      <c r="G30" s="15" t="s">
        <v>906</v>
      </c>
      <c r="H30" s="15"/>
      <c r="I30" s="15" t="str">
        <f>"Poptávka TURTO - "&amp;A30&amp;" - "&amp;IF(F30=data!$E$1,E30&amp;" - ","")&amp;G30&amp;" - "&amp;DAY(B30)&amp;"."&amp;MONTH(B30)&amp;"."&amp;YEAR(B30)</f>
        <v>Poptávka TURTO - GMYS - izolační nosníky - 12.8.2026</v>
      </c>
    </row>
    <row r="31" spans="1:9" s="14" customFormat="1" ht="30">
      <c r="A31" s="15" t="s">
        <v>889</v>
      </c>
      <c r="B31" s="17">
        <v>46245</v>
      </c>
      <c r="C31" s="17"/>
      <c r="D31" s="15" t="s">
        <v>714</v>
      </c>
      <c r="E31" s="15" t="s">
        <v>926</v>
      </c>
      <c r="F31" s="15" t="s">
        <v>912</v>
      </c>
      <c r="G31" s="15" t="s">
        <v>1264</v>
      </c>
      <c r="H31" s="15"/>
      <c r="I31" s="15" t="str">
        <f>"Poptávka TURTO - "&amp;A31&amp;" - "&amp;IF(F31=data!$E$1,E31&amp;" - ","")&amp;G31&amp;" - "&amp;DAY(B31)&amp;"."&amp;MONTH(B31)&amp;"."&amp;YEAR(B31)</f>
        <v>Poptávka TURTO - Peikko - přepravní kotvy - 11.8.2026</v>
      </c>
    </row>
    <row r="32" spans="1:9" s="14" customFormat="1" ht="30">
      <c r="A32" s="15" t="s">
        <v>886</v>
      </c>
      <c r="B32" s="17">
        <v>46245</v>
      </c>
      <c r="C32" s="17">
        <v>46246</v>
      </c>
      <c r="D32" s="15" t="s">
        <v>714</v>
      </c>
      <c r="E32" s="15" t="s">
        <v>926</v>
      </c>
      <c r="F32" s="15" t="s">
        <v>912</v>
      </c>
      <c r="G32" s="15" t="s">
        <v>1264</v>
      </c>
      <c r="H32" s="15"/>
      <c r="I32" s="15" t="str">
        <f>"Poptávka TURTO - "&amp;A32&amp;" - "&amp;IF(F32=data!$E$1,E32&amp;" - ","")&amp;G32&amp;" - "&amp;DAY(B32)&amp;"."&amp;MONTH(B32)&amp;"."&amp;YEAR(B32)</f>
        <v>Poptávka TURTO - PohlCon - přepravní kotvy - 11.8.2026</v>
      </c>
    </row>
    <row r="33" spans="1:9" s="14" customFormat="1">
      <c r="A33" s="15" t="s">
        <v>885</v>
      </c>
      <c r="B33" s="17">
        <v>46245</v>
      </c>
      <c r="C33" s="17">
        <v>46246</v>
      </c>
      <c r="D33" s="15" t="s">
        <v>318</v>
      </c>
      <c r="E33" s="15" t="s">
        <v>1408</v>
      </c>
      <c r="F33" s="15" t="s">
        <v>911</v>
      </c>
      <c r="G33" s="15" t="s">
        <v>906</v>
      </c>
      <c r="H33" s="15"/>
      <c r="I33" s="15" t="str">
        <f>"Poptávka TURTO - "&amp;A33&amp;" - "&amp;IF(F33=data!$E$1,E33&amp;" - ","")&amp;G33&amp;" - "&amp;DAY(B33)&amp;"."&amp;MONTH(B33)&amp;"."&amp;YEAR(B33)</f>
        <v>Poptávka TURTO - Leviat - Za Valem D1,D2,D3, I - izolační nosníky - 11.8.2026</v>
      </c>
    </row>
    <row r="34" spans="1:9" s="14" customFormat="1">
      <c r="A34" s="15" t="s">
        <v>891</v>
      </c>
      <c r="B34" s="17">
        <v>46244</v>
      </c>
      <c r="C34" s="17">
        <v>46245</v>
      </c>
      <c r="D34" s="15" t="s">
        <v>760</v>
      </c>
      <c r="E34" s="15" t="s">
        <v>65</v>
      </c>
      <c r="F34" s="15" t="s">
        <v>912</v>
      </c>
      <c r="G34" s="15" t="s">
        <v>913</v>
      </c>
      <c r="H34" s="15"/>
      <c r="I34" s="15" t="str">
        <f>"Poptávka TURTO - "&amp;A34&amp;" - "&amp;IF(F34=data!$E$1,E34&amp;" - ","")&amp;G34&amp;" - "&amp;DAY(B34)&amp;"."&amp;MONTH(B34)&amp;"."&amp;YEAR(B34)</f>
        <v>Poptávka TURTO - Nevoga - vylamovací výztuž - 10.8.2026</v>
      </c>
    </row>
    <row r="35" spans="1:9" s="14" customFormat="1" ht="30">
      <c r="A35" s="15" t="s">
        <v>885</v>
      </c>
      <c r="B35" s="17">
        <v>46244</v>
      </c>
      <c r="C35" s="17">
        <v>46244</v>
      </c>
      <c r="D35" s="15" t="s">
        <v>97</v>
      </c>
      <c r="E35" s="15" t="s">
        <v>1185</v>
      </c>
      <c r="F35" s="15" t="s">
        <v>911</v>
      </c>
      <c r="G35" s="15" t="s">
        <v>906</v>
      </c>
      <c r="H35" s="15"/>
      <c r="I35" s="15" t="str">
        <f>"Poptávka TURTO - "&amp;A35&amp;" - "&amp;IF(F35=data!$E$1,E35&amp;" - ","")&amp;G35&amp;" - "&amp;DAY(B35)&amp;"."&amp;MONTH(B35)&amp;"."&amp;YEAR(B35)</f>
        <v>Poptávka TURTO - Leviat - BD Nový Zeleneč - izolační nosníky - 10.8.2026</v>
      </c>
    </row>
    <row r="36" spans="1:9" s="14" customFormat="1" ht="30">
      <c r="A36" s="15" t="s">
        <v>1166</v>
      </c>
      <c r="B36" s="17">
        <v>46244</v>
      </c>
      <c r="C36" s="17">
        <v>46244</v>
      </c>
      <c r="D36" s="15" t="s">
        <v>475</v>
      </c>
      <c r="E36" s="15" t="s">
        <v>926</v>
      </c>
      <c r="F36" s="15" t="s">
        <v>912</v>
      </c>
      <c r="G36" s="15" t="s">
        <v>1406</v>
      </c>
      <c r="H36" s="15"/>
      <c r="I36" s="15" t="str">
        <f>"Poptávka TURTO - "&amp;A36&amp;" - "&amp;IF(F36=data!$E$1,E36&amp;" - ","")&amp;G36&amp;" - "&amp;DAY(B36)&amp;"."&amp;MONTH(B36)&amp;"."&amp;YEAR(B36)</f>
        <v>Poptávka TURTO - SIKA - Sikaflex Construction+ - 10.8.2026</v>
      </c>
    </row>
    <row r="37" spans="1:9" s="14" customFormat="1" ht="30">
      <c r="A37" s="15" t="s">
        <v>890</v>
      </c>
      <c r="B37" s="17">
        <v>46239</v>
      </c>
      <c r="C37" s="17">
        <v>46239</v>
      </c>
      <c r="D37" s="15" t="s">
        <v>578</v>
      </c>
      <c r="E37" s="15" t="s">
        <v>1179</v>
      </c>
      <c r="F37" s="15" t="s">
        <v>912</v>
      </c>
      <c r="G37" s="15" t="s">
        <v>908</v>
      </c>
      <c r="H37" s="15"/>
      <c r="I37" s="15" t="str">
        <f>"Poptávka TURTO - "&amp;A37&amp;" - "&amp;IF(F37=data!$E$1,E37&amp;" - ","")&amp;G37&amp;" - "&amp;DAY(B37)&amp;"."&amp;MONTH(B37)&amp;"."&amp;YEAR(B37)</f>
        <v>Poptávka TURTO - Pro-Doma - lenton spojky - 5.8.2026</v>
      </c>
    </row>
    <row r="38" spans="1:9" s="14" customFormat="1">
      <c r="A38" s="15" t="s">
        <v>887</v>
      </c>
      <c r="B38" s="17">
        <v>46239</v>
      </c>
      <c r="C38" s="17">
        <v>46239</v>
      </c>
      <c r="D38" s="15" t="s">
        <v>572</v>
      </c>
      <c r="E38" s="15" t="s">
        <v>1401</v>
      </c>
      <c r="F38" s="15" t="s">
        <v>912</v>
      </c>
      <c r="G38" s="15" t="s">
        <v>1043</v>
      </c>
      <c r="H38" s="15"/>
      <c r="I38" s="15" t="str">
        <f>"Poptávka TURTO - "&amp;A38&amp;" - "&amp;IF(F38=data!$E$1,E38&amp;" - ","")&amp;G38&amp;" - "&amp;DAY(B38)&amp;"."&amp;MONTH(B38)&amp;"."&amp;YEAR(B38)</f>
        <v>Poptávka TURTO - MaxFrank - akustika - 5.8.2026</v>
      </c>
    </row>
    <row r="39" spans="1:9" s="14" customFormat="1">
      <c r="A39" s="15" t="s">
        <v>885</v>
      </c>
      <c r="B39" s="17">
        <v>46239</v>
      </c>
      <c r="C39" s="17">
        <v>46239</v>
      </c>
      <c r="D39" s="15" t="s">
        <v>572</v>
      </c>
      <c r="E39" s="15" t="s">
        <v>1401</v>
      </c>
      <c r="F39" s="15" t="s">
        <v>911</v>
      </c>
      <c r="G39" s="15" t="s">
        <v>906</v>
      </c>
      <c r="H39" s="15"/>
      <c r="I39" s="15" t="str">
        <f>"Poptávka TURTO - "&amp;A39&amp;" - "&amp;IF(F39=data!$E$1,E39&amp;" - ","")&amp;G39&amp;" - "&amp;DAY(B39)&amp;"."&amp;MONTH(B39)&amp;"."&amp;YEAR(B39)</f>
        <v>Poptávka TURTO - Leviat - Čimice - izolační nosníky - 5.8.2026</v>
      </c>
    </row>
    <row r="40" spans="1:9" s="14" customFormat="1" ht="30">
      <c r="A40" s="15" t="s">
        <v>889</v>
      </c>
      <c r="B40" s="17">
        <v>46238</v>
      </c>
      <c r="C40" s="17">
        <v>46240</v>
      </c>
      <c r="D40" s="15" t="s">
        <v>758</v>
      </c>
      <c r="E40" s="15" t="s">
        <v>1266</v>
      </c>
      <c r="F40" s="15" t="s">
        <v>911</v>
      </c>
      <c r="G40" s="15" t="s">
        <v>907</v>
      </c>
      <c r="H40" s="15"/>
      <c r="I40" s="15" t="str">
        <f>"Poptávka TURTO - "&amp;A40&amp;" - "&amp;IF(F40=data!$E$1,E40&amp;" - ","")&amp;G40&amp;" - "&amp;DAY(B40)&amp;"."&amp;MONTH(B40)&amp;"."&amp;YEAR(B40)</f>
        <v>Poptávka TURTO - Peikko - Sweetwater - smyková výztuž - 4.8.2026</v>
      </c>
    </row>
    <row r="41" spans="1:9" s="14" customFormat="1" ht="30">
      <c r="A41" s="15" t="s">
        <v>886</v>
      </c>
      <c r="B41" s="17">
        <v>46238</v>
      </c>
      <c r="C41" s="17">
        <v>46146</v>
      </c>
      <c r="D41" s="15" t="s">
        <v>758</v>
      </c>
      <c r="E41" s="15" t="s">
        <v>1266</v>
      </c>
      <c r="F41" s="15" t="s">
        <v>912</v>
      </c>
      <c r="G41" s="15" t="s">
        <v>907</v>
      </c>
      <c r="H41" s="15"/>
      <c r="I41" s="15" t="str">
        <f>"Poptávka TURTO - "&amp;A41&amp;" - "&amp;IF(F41=data!$E$1,E41&amp;" - ","")&amp;G41&amp;" - "&amp;DAY(B41)&amp;"."&amp;MONTH(B41)&amp;"."&amp;YEAR(B41)</f>
        <v>Poptávka TURTO - PohlCon - smyková výztuž - 4.8.2026</v>
      </c>
    </row>
    <row r="42" spans="1:9" s="14" customFormat="1">
      <c r="A42" s="15" t="s">
        <v>889</v>
      </c>
      <c r="B42" s="17">
        <v>46233</v>
      </c>
      <c r="C42" s="17">
        <v>46244</v>
      </c>
      <c r="D42" s="15" t="s">
        <v>499</v>
      </c>
      <c r="E42" s="15" t="s">
        <v>1317</v>
      </c>
      <c r="F42" s="15" t="s">
        <v>911</v>
      </c>
      <c r="G42" s="15" t="s">
        <v>906</v>
      </c>
      <c r="H42" s="15"/>
      <c r="I42" s="15" t="str">
        <f>"Poptávka TURTO - "&amp;A42&amp;" - "&amp;IF(F42=data!$E$1,E42&amp;" - ","")&amp;G42&amp;" - "&amp;DAY(B42)&amp;"."&amp;MONTH(B42)&amp;"."&amp;YEAR(B42)</f>
        <v>Poptávka TURTO - Peikko - BD Na Primoně - izolační nosníky - 30.7.2026</v>
      </c>
    </row>
    <row r="43" spans="1:9" s="14" customFormat="1">
      <c r="A43" s="15" t="s">
        <v>885</v>
      </c>
      <c r="B43" s="17">
        <v>46232</v>
      </c>
      <c r="C43" s="17">
        <v>46233</v>
      </c>
      <c r="D43" s="15" t="s">
        <v>1216</v>
      </c>
      <c r="E43" s="15" t="s">
        <v>1217</v>
      </c>
      <c r="F43" s="15" t="s">
        <v>911</v>
      </c>
      <c r="G43" s="15" t="s">
        <v>906</v>
      </c>
      <c r="H43" s="15"/>
      <c r="I43" s="15" t="str">
        <f>"Poptávka TURTO - "&amp;A43&amp;" - "&amp;IF(F43=data!$E$1,E43&amp;" - ","")&amp;G43&amp;" - "&amp;DAY(B43)&amp;"."&amp;MONTH(B43)&amp;"."&amp;YEAR(B43)</f>
        <v>Poptávka TURTO - Leviat - BD Březinova - izolační nosníky - 29.7.2026</v>
      </c>
    </row>
    <row r="44" spans="1:9" s="14" customFormat="1">
      <c r="A44" s="15" t="s">
        <v>889</v>
      </c>
      <c r="B44" s="17">
        <v>46232</v>
      </c>
      <c r="C44" s="17">
        <v>46233</v>
      </c>
      <c r="D44" s="15" t="s">
        <v>1216</v>
      </c>
      <c r="E44" s="15" t="s">
        <v>1217</v>
      </c>
      <c r="F44" s="15" t="s">
        <v>911</v>
      </c>
      <c r="G44" s="15" t="s">
        <v>907</v>
      </c>
      <c r="H44" s="15"/>
      <c r="I44" s="15" t="str">
        <f>"Poptávka TURTO - "&amp;A44&amp;" - "&amp;IF(F44=data!$E$1,E44&amp;" - ","")&amp;G44&amp;" - "&amp;DAY(B44)&amp;"."&amp;MONTH(B44)&amp;"."&amp;YEAR(B44)</f>
        <v>Poptávka TURTO - Peikko - BD Březinova - smyková výztuž - 29.7.2026</v>
      </c>
    </row>
    <row r="45" spans="1:9" s="14" customFormat="1">
      <c r="A45" s="15" t="s">
        <v>886</v>
      </c>
      <c r="B45" s="17">
        <v>46232</v>
      </c>
      <c r="C45" s="17">
        <v>46232</v>
      </c>
      <c r="D45" s="15" t="s">
        <v>1216</v>
      </c>
      <c r="E45" s="15" t="s">
        <v>1217</v>
      </c>
      <c r="F45" s="15" t="s">
        <v>912</v>
      </c>
      <c r="G45" s="15" t="s">
        <v>907</v>
      </c>
      <c r="H45" s="15"/>
      <c r="I45" s="15" t="str">
        <f>"Poptávka TURTO - "&amp;A45&amp;" - "&amp;IF(F45=data!$E$1,E45&amp;" - ","")&amp;G45&amp;" - "&amp;DAY(B45)&amp;"."&amp;MONTH(B45)&amp;"."&amp;YEAR(B45)</f>
        <v>Poptávka TURTO - PohlCon - smyková výztuž - 29.7.2026</v>
      </c>
    </row>
    <row r="46" spans="1:9" s="14" customFormat="1">
      <c r="A46" s="15" t="s">
        <v>889</v>
      </c>
      <c r="B46" s="17">
        <v>46232</v>
      </c>
      <c r="C46" s="17">
        <v>46232</v>
      </c>
      <c r="D46" s="15" t="s">
        <v>678</v>
      </c>
      <c r="E46" s="15" t="s">
        <v>1393</v>
      </c>
      <c r="F46" s="15" t="s">
        <v>911</v>
      </c>
      <c r="G46" s="15" t="s">
        <v>907</v>
      </c>
      <c r="H46" s="15"/>
      <c r="I46" s="15" t="str">
        <f>"Poptávka TURTO - "&amp;A46&amp;" - "&amp;IF(F46=data!$E$1,E46&amp;" - ","")&amp;G46&amp;" - "&amp;DAY(B46)&amp;"."&amp;MONTH(B46)&amp;"."&amp;YEAR(B46)</f>
        <v>Poptávka TURTO - Peikko - BD Kročehlavy - smyková výztuž - 29.7.2026</v>
      </c>
    </row>
    <row r="47" spans="1:9" s="14" customFormat="1">
      <c r="A47" s="15" t="s">
        <v>888</v>
      </c>
      <c r="B47" s="17">
        <v>46232</v>
      </c>
      <c r="C47" s="17">
        <v>46232</v>
      </c>
      <c r="D47" s="15" t="s">
        <v>747</v>
      </c>
      <c r="E47" s="15" t="s">
        <v>1030</v>
      </c>
      <c r="F47" s="15" t="s">
        <v>912</v>
      </c>
      <c r="G47" s="15" t="s">
        <v>909</v>
      </c>
      <c r="H47" s="15"/>
      <c r="I47" s="15" t="str">
        <f>"Poptávka TURTO - "&amp;A47&amp;" - "&amp;IF(F47=data!$E$1,E47&amp;" - ","")&amp;G47&amp;" - "&amp;DAY(B47)&amp;"."&amp;MONTH(B47)&amp;"."&amp;YEAR(B47)</f>
        <v>Poptávka TURTO - GeroTop - prostupy - 29.7.2026</v>
      </c>
    </row>
    <row r="48" spans="1:9" s="14" customFormat="1">
      <c r="A48" s="15" t="s">
        <v>1287</v>
      </c>
      <c r="B48" s="17">
        <v>46232</v>
      </c>
      <c r="C48" s="17">
        <v>46234</v>
      </c>
      <c r="D48" s="15" t="s">
        <v>747</v>
      </c>
      <c r="E48" s="15" t="s">
        <v>1030</v>
      </c>
      <c r="F48" s="15" t="s">
        <v>912</v>
      </c>
      <c r="G48" s="15" t="s">
        <v>909</v>
      </c>
      <c r="H48" s="15"/>
      <c r="I48" s="15" t="str">
        <f>"Poptávka TURTO - "&amp;A48&amp;" - "&amp;IF(F48=data!$E$1,E48&amp;" - ","")&amp;G48&amp;" - "&amp;DAY(B48)&amp;"."&amp;MONTH(B48)&amp;"."&amp;YEAR(B48)</f>
        <v>Poptávka TURTO - Bettra - prostupy - 29.7.2026</v>
      </c>
    </row>
    <row r="49" spans="1:9" s="14" customFormat="1">
      <c r="A49" s="15" t="s">
        <v>885</v>
      </c>
      <c r="B49" s="17">
        <v>46232</v>
      </c>
      <c r="C49" s="17">
        <v>46232</v>
      </c>
      <c r="D49" s="15" t="s">
        <v>318</v>
      </c>
      <c r="E49" s="15" t="s">
        <v>1237</v>
      </c>
      <c r="F49" s="15" t="s">
        <v>911</v>
      </c>
      <c r="G49" s="15" t="s">
        <v>906</v>
      </c>
      <c r="H49" s="15"/>
      <c r="I49" s="15" t="str">
        <f>"Poptávka TURTO - "&amp;A49&amp;" - "&amp;IF(F49=data!$E$1,E49&amp;" - ","")&amp;G49&amp;" - "&amp;DAY(B49)&amp;"."&amp;MONTH(B49)&amp;"."&amp;YEAR(B49)</f>
        <v>Poptávka TURTO - Leviat - VIRTA Kladno - izolační nosníky - 29.7.2026</v>
      </c>
    </row>
    <row r="50" spans="1:9" s="14" customFormat="1" ht="30">
      <c r="A50" s="15" t="s">
        <v>1287</v>
      </c>
      <c r="B50" s="17">
        <v>46232</v>
      </c>
      <c r="C50" s="17">
        <v>46232</v>
      </c>
      <c r="D50" s="15" t="s">
        <v>557</v>
      </c>
      <c r="E50" s="15" t="s">
        <v>1394</v>
      </c>
      <c r="F50" s="15" t="s">
        <v>912</v>
      </c>
      <c r="G50" s="15" t="s">
        <v>909</v>
      </c>
      <c r="H50" s="15"/>
      <c r="I50" s="15" t="str">
        <f>"Poptávka TURTO - "&amp;A50&amp;" - "&amp;IF(F50=data!$E$1,E50&amp;" - ","")&amp;G50&amp;" - "&amp;DAY(B50)&amp;"."&amp;MONTH(B50)&amp;"."&amp;YEAR(B50)</f>
        <v>Poptávka TURTO - Bettra - prostupy - 29.7.2026</v>
      </c>
    </row>
    <row r="51" spans="1:9" s="14" customFormat="1" ht="30">
      <c r="A51" s="15" t="s">
        <v>888</v>
      </c>
      <c r="B51" s="17">
        <v>46232</v>
      </c>
      <c r="C51" s="17">
        <v>46232</v>
      </c>
      <c r="D51" s="15" t="s">
        <v>557</v>
      </c>
      <c r="E51" s="15" t="s">
        <v>1394</v>
      </c>
      <c r="F51" s="15" t="s">
        <v>912</v>
      </c>
      <c r="G51" s="15" t="s">
        <v>909</v>
      </c>
      <c r="H51" s="15"/>
      <c r="I51" s="15" t="str">
        <f>"Poptávka TURTO - "&amp;A51&amp;" - "&amp;IF(F51=data!$E$1,E51&amp;" - ","")&amp;G51&amp;" - "&amp;DAY(B51)&amp;"."&amp;MONTH(B51)&amp;"."&amp;YEAR(B51)</f>
        <v>Poptávka TURTO - GeroTop - prostupy - 29.7.2026</v>
      </c>
    </row>
    <row r="52" spans="1:9" s="14" customFormat="1">
      <c r="A52" s="15" t="s">
        <v>886</v>
      </c>
      <c r="B52" s="17">
        <v>46231</v>
      </c>
      <c r="C52" s="17">
        <v>46231</v>
      </c>
      <c r="D52" s="15" t="s">
        <v>678</v>
      </c>
      <c r="E52" s="15" t="s">
        <v>1393</v>
      </c>
      <c r="F52" s="15" t="s">
        <v>912</v>
      </c>
      <c r="G52" s="15" t="s">
        <v>907</v>
      </c>
      <c r="H52" s="15"/>
      <c r="I52" s="15" t="str">
        <f>"Poptávka TURTO - "&amp;A52&amp;" - "&amp;IF(F52=data!$E$1,E52&amp;" - ","")&amp;G52&amp;" - "&amp;DAY(B52)&amp;"."&amp;MONTH(B52)&amp;"."&amp;YEAR(B52)</f>
        <v>Poptávka TURTO - PohlCon - smyková výztuž - 28.7.2026</v>
      </c>
    </row>
    <row r="53" spans="1:9" s="14" customFormat="1" ht="30">
      <c r="A53" s="15" t="s">
        <v>885</v>
      </c>
      <c r="B53" s="17">
        <v>46231</v>
      </c>
      <c r="C53" s="17">
        <v>46231</v>
      </c>
      <c r="D53" s="15" t="s">
        <v>319</v>
      </c>
      <c r="E53" s="15" t="s">
        <v>1392</v>
      </c>
      <c r="F53" s="15" t="s">
        <v>911</v>
      </c>
      <c r="G53" s="15" t="s">
        <v>906</v>
      </c>
      <c r="H53" s="15"/>
      <c r="I53" s="15" t="str">
        <f>"Poptávka TURTO - "&amp;A53&amp;" - "&amp;IF(F53=data!$E$1,E53&amp;" - ","")&amp;G53&amp;" - "&amp;DAY(B53)&amp;"."&amp;MONTH(B53)&amp;"."&amp;YEAR(B53)</f>
        <v>Poptávka TURTO - Leviat - Rezidence Lipno přístav - izolační nosníky - 28.7.2026</v>
      </c>
    </row>
    <row r="54" spans="1:9" s="14" customFormat="1" ht="30">
      <c r="A54" s="15" t="s">
        <v>985</v>
      </c>
      <c r="B54" s="17">
        <v>46231</v>
      </c>
      <c r="C54" s="17">
        <v>46238</v>
      </c>
      <c r="D54" s="15" t="s">
        <v>319</v>
      </c>
      <c r="E54" s="15" t="s">
        <v>1392</v>
      </c>
      <c r="F54" s="15" t="s">
        <v>912</v>
      </c>
      <c r="G54" s="15" t="s">
        <v>986</v>
      </c>
      <c r="H54" s="15"/>
      <c r="I54" s="15" t="str">
        <f>"Poptávka TURTO - "&amp;A54&amp;" - "&amp;IF(F54=data!$E$1,E54&amp;" - ","")&amp;G54&amp;" - "&amp;DAY(B54)&amp;"."&amp;MONTH(B54)&amp;"."&amp;YEAR(B54)</f>
        <v>Poptávka TURTO - EXPAN - dilatační profil - 28.7.2026</v>
      </c>
    </row>
    <row r="55" spans="1:9" s="14" customFormat="1" ht="30">
      <c r="A55" s="15" t="s">
        <v>888</v>
      </c>
      <c r="B55" s="17">
        <v>46231</v>
      </c>
      <c r="C55" s="17">
        <v>46231</v>
      </c>
      <c r="D55" s="15" t="s">
        <v>319</v>
      </c>
      <c r="E55" s="15" t="s">
        <v>1392</v>
      </c>
      <c r="F55" s="15" t="s">
        <v>911</v>
      </c>
      <c r="G55" s="15" t="s">
        <v>909</v>
      </c>
      <c r="H55" s="15"/>
      <c r="I55" s="15" t="str">
        <f>"Poptávka TURTO - "&amp;A55&amp;" - "&amp;IF(F55=data!$E$1,E55&amp;" - ","")&amp;G55&amp;" - "&amp;DAY(B55)&amp;"."&amp;MONTH(B55)&amp;"."&amp;YEAR(B55)</f>
        <v>Poptávka TURTO - GeroTop - Rezidence Lipno přístav - prostupy - 28.7.2026</v>
      </c>
    </row>
    <row r="56" spans="1:9" s="14" customFormat="1" ht="30">
      <c r="A56" s="15" t="s">
        <v>888</v>
      </c>
      <c r="B56" s="17">
        <v>46230</v>
      </c>
      <c r="C56" s="17">
        <v>46230</v>
      </c>
      <c r="D56" s="15" t="s">
        <v>747</v>
      </c>
      <c r="E56" s="15" t="s">
        <v>1377</v>
      </c>
      <c r="F56" s="15" t="s">
        <v>911</v>
      </c>
      <c r="G56" s="15" t="s">
        <v>909</v>
      </c>
      <c r="H56" s="15"/>
      <c r="I56" s="15" t="str">
        <f>"Poptávka TURTO - "&amp;A56&amp;" - "&amp;IF(F56=data!$E$1,E56&amp;" - ","")&amp;G56&amp;" - "&amp;DAY(B56)&amp;"."&amp;MONTH(B56)&amp;"."&amp;YEAR(B56)</f>
        <v>Poptávka TURTO - GeroTop - Nemocnice Mladá Boleslav - prostupy - 27.7.2026</v>
      </c>
    </row>
    <row r="57" spans="1:9" s="14" customFormat="1">
      <c r="A57" s="15" t="s">
        <v>885</v>
      </c>
      <c r="B57" s="17">
        <v>46227</v>
      </c>
      <c r="C57" s="17">
        <v>46230</v>
      </c>
      <c r="D57" s="15" t="s">
        <v>1387</v>
      </c>
      <c r="E57" s="15" t="s">
        <v>1388</v>
      </c>
      <c r="F57" s="15" t="s">
        <v>911</v>
      </c>
      <c r="G57" s="15" t="s">
        <v>906</v>
      </c>
      <c r="H57" s="15"/>
      <c r="I57" s="15" t="str">
        <f>"Poptávka TURTO - "&amp;A57&amp;" - "&amp;IF(F57=data!$E$1,E57&amp;" - ","")&amp;G57&amp;" - "&amp;DAY(B57)&amp;"."&amp;MONTH(B57)&amp;"."&amp;YEAR(B57)</f>
        <v>Poptávka TURTO - Leviat - BD Vršovice - izolační nosníky - 24.7.2026</v>
      </c>
    </row>
    <row r="58" spans="1:9" s="14" customFormat="1">
      <c r="A58" s="15" t="s">
        <v>886</v>
      </c>
      <c r="B58" s="17">
        <v>46227</v>
      </c>
      <c r="C58" s="17">
        <v>46230</v>
      </c>
      <c r="D58" s="15" t="s">
        <v>125</v>
      </c>
      <c r="E58" s="15" t="s">
        <v>1328</v>
      </c>
      <c r="F58" s="15" t="s">
        <v>912</v>
      </c>
      <c r="G58" s="15" t="s">
        <v>907</v>
      </c>
      <c r="H58" s="15"/>
      <c r="I58" s="15" t="str">
        <f>"Poptávka TURTO - "&amp;A58&amp;" - "&amp;IF(F58=data!$E$1,E58&amp;" - ","")&amp;G58&amp;" - "&amp;DAY(B58)&amp;"."&amp;MONTH(B58)&amp;"."&amp;YEAR(B58)</f>
        <v>Poptávka TURTO - PohlCon - smyková výztuž - 24.7.2026</v>
      </c>
    </row>
    <row r="59" spans="1:9" s="14" customFormat="1">
      <c r="A59" s="15" t="s">
        <v>889</v>
      </c>
      <c r="B59" s="17">
        <v>46227</v>
      </c>
      <c r="C59" s="17">
        <v>46231</v>
      </c>
      <c r="D59" s="15" t="s">
        <v>125</v>
      </c>
      <c r="E59" s="15" t="s">
        <v>1328</v>
      </c>
      <c r="F59" s="15" t="s">
        <v>911</v>
      </c>
      <c r="G59" s="15" t="s">
        <v>907</v>
      </c>
      <c r="H59" s="15"/>
      <c r="I59" s="15" t="str">
        <f>"Poptávka TURTO - "&amp;A59&amp;" - "&amp;IF(F59=data!$E$1,E59&amp;" - ","")&amp;G59&amp;" - "&amp;DAY(B59)&amp;"."&amp;MONTH(B59)&amp;"."&amp;YEAR(B59)</f>
        <v>Poptávka TURTO - Peikko - BD Plzeň - smyková výztuž - 24.7.2026</v>
      </c>
    </row>
    <row r="60" spans="1:9" s="14" customFormat="1">
      <c r="A60" s="15" t="s">
        <v>885</v>
      </c>
      <c r="B60" s="17">
        <v>46227</v>
      </c>
      <c r="C60" s="17">
        <v>46227</v>
      </c>
      <c r="D60" s="15" t="s">
        <v>1386</v>
      </c>
      <c r="E60" s="15" t="s">
        <v>1385</v>
      </c>
      <c r="F60" s="15" t="s">
        <v>911</v>
      </c>
      <c r="G60" s="15" t="s">
        <v>906</v>
      </c>
      <c r="H60" s="15"/>
      <c r="I60" s="15" t="str">
        <f>"Poptávka TURTO - "&amp;A60&amp;" - "&amp;IF(F60=data!$E$1,E60&amp;" - ","")&amp;G60&amp;" - "&amp;DAY(B60)&amp;"."&amp;MONTH(B60)&amp;"."&amp;YEAR(B60)</f>
        <v>Poptávka TURTO - Leviat - RD Chrastava - izolační nosníky - 24.7.2026</v>
      </c>
    </row>
    <row r="61" spans="1:9" s="14" customFormat="1">
      <c r="A61" s="15" t="s">
        <v>885</v>
      </c>
      <c r="B61" s="17">
        <v>46227</v>
      </c>
      <c r="C61" s="17">
        <v>46233</v>
      </c>
      <c r="D61" s="15" t="s">
        <v>744</v>
      </c>
      <c r="E61" s="15" t="s">
        <v>1373</v>
      </c>
      <c r="F61" s="15" t="s">
        <v>911</v>
      </c>
      <c r="G61" s="15" t="s">
        <v>906</v>
      </c>
      <c r="H61" s="15"/>
      <c r="I61" s="15" t="str">
        <f>"Poptávka TURTO - "&amp;A61&amp;" - "&amp;IF(F61=data!$E$1,E61&amp;" - ","")&amp;G61&amp;" - "&amp;DAY(B61)&amp;"."&amp;MONTH(B61)&amp;"."&amp;YEAR(B61)</f>
        <v>Poptávka TURTO - Leviat - Beroun Pískovna II - izolační nosníky - 24.7.2026</v>
      </c>
    </row>
    <row r="62" spans="1:9" s="14" customFormat="1">
      <c r="A62" s="15" t="s">
        <v>885</v>
      </c>
      <c r="B62" s="17">
        <v>46227</v>
      </c>
      <c r="C62" s="17">
        <v>46231</v>
      </c>
      <c r="D62" s="15" t="s">
        <v>386</v>
      </c>
      <c r="E62" s="15" t="s">
        <v>1384</v>
      </c>
      <c r="F62" s="15" t="s">
        <v>911</v>
      </c>
      <c r="G62" s="15" t="s">
        <v>906</v>
      </c>
      <c r="H62" s="15"/>
      <c r="I62" s="15" t="str">
        <f>"Poptávka TURTO - "&amp;A62&amp;" - "&amp;IF(F62=data!$E$1,E62&amp;" - ","")&amp;G62&amp;" - "&amp;DAY(B62)&amp;"."&amp;MONTH(B62)&amp;"."&amp;YEAR(B62)</f>
        <v>Poptávka TURTO - Leviat - Ostravice "pila" - izolační nosníky - 24.7.2026</v>
      </c>
    </row>
    <row r="63" spans="1:9" s="14" customFormat="1">
      <c r="A63" s="15" t="s">
        <v>891</v>
      </c>
      <c r="B63" s="17">
        <v>46227</v>
      </c>
      <c r="C63" s="17">
        <v>46231</v>
      </c>
      <c r="D63" s="15" t="s">
        <v>1382</v>
      </c>
      <c r="E63" s="15" t="s">
        <v>897</v>
      </c>
      <c r="F63" s="15" t="s">
        <v>912</v>
      </c>
      <c r="G63" s="15" t="s">
        <v>906</v>
      </c>
      <c r="H63" s="15" t="s">
        <v>1391</v>
      </c>
      <c r="I63" s="15" t="str">
        <f>"Poptávka TURTO - "&amp;A63&amp;" - "&amp;IF(F63=data!$E$1,E63&amp;" - ","")&amp;G63&amp;" - "&amp;DAY(B63)&amp;"."&amp;MONTH(B63)&amp;"."&amp;YEAR(B63)</f>
        <v>Poptávka TURTO - Nevoga - izolační nosníky - 24.7.2026</v>
      </c>
    </row>
    <row r="64" spans="1:9" s="14" customFormat="1">
      <c r="A64" s="15" t="s">
        <v>885</v>
      </c>
      <c r="B64" s="17">
        <v>46226</v>
      </c>
      <c r="C64" s="17">
        <v>46226</v>
      </c>
      <c r="D64" s="15" t="s">
        <v>976</v>
      </c>
      <c r="E64" s="15" t="s">
        <v>955</v>
      </c>
      <c r="F64" s="15" t="s">
        <v>912</v>
      </c>
      <c r="G64" s="15" t="s">
        <v>906</v>
      </c>
      <c r="H64" s="15"/>
      <c r="I64" s="15" t="str">
        <f>"Poptávka TURTO - "&amp;A64&amp;" - "&amp;IF(F64=data!$E$1,E64&amp;" - ","")&amp;G64&amp;" - "&amp;DAY(B64)&amp;"."&amp;MONTH(B64)&amp;"."&amp;YEAR(B64)</f>
        <v>Poptávka TURTO - Leviat - izolační nosníky - 23.7.2026</v>
      </c>
    </row>
    <row r="65" spans="1:9" s="14" customFormat="1" ht="30">
      <c r="A65" s="15" t="s">
        <v>888</v>
      </c>
      <c r="B65" s="17">
        <v>46226</v>
      </c>
      <c r="C65" s="17">
        <v>46226</v>
      </c>
      <c r="D65" s="15" t="s">
        <v>452</v>
      </c>
      <c r="E65" s="15" t="s">
        <v>926</v>
      </c>
      <c r="F65" s="15" t="s">
        <v>912</v>
      </c>
      <c r="G65" s="15" t="s">
        <v>909</v>
      </c>
      <c r="H65" s="15"/>
      <c r="I65" s="15" t="str">
        <f>"Poptávka TURTO - "&amp;A65&amp;" - "&amp;IF(F65=data!$E$1,E65&amp;" - ","")&amp;G65&amp;" - "&amp;DAY(B65)&amp;"."&amp;MONTH(B65)&amp;"."&amp;YEAR(B65)</f>
        <v>Poptávka TURTO - GeroTop - prostupy - 23.7.2026</v>
      </c>
    </row>
    <row r="66" spans="1:9" s="14" customFormat="1" ht="30">
      <c r="A66" s="15" t="s">
        <v>889</v>
      </c>
      <c r="B66" s="17">
        <v>46226</v>
      </c>
      <c r="C66" s="17">
        <v>46227</v>
      </c>
      <c r="D66" s="15" t="s">
        <v>747</v>
      </c>
      <c r="E66" s="15" t="s">
        <v>1376</v>
      </c>
      <c r="F66" s="15" t="s">
        <v>911</v>
      </c>
      <c r="G66" s="15" t="s">
        <v>907</v>
      </c>
      <c r="H66" s="15"/>
      <c r="I66" s="15" t="str">
        <f>"Poptávka TURTO - "&amp;A66&amp;" - "&amp;IF(F66=data!$E$1,E66&amp;" - ","")&amp;G66&amp;" - "&amp;DAY(B66)&amp;"."&amp;MONTH(B66)&amp;"."&amp;YEAR(B66)</f>
        <v>Poptávka TURTO - Peikko - Pavilon pro matku a dítě - smyková výztuž - 23.7.2026</v>
      </c>
    </row>
    <row r="67" spans="1:9" s="14" customFormat="1">
      <c r="A67" s="15" t="s">
        <v>886</v>
      </c>
      <c r="B67" s="17">
        <v>46226</v>
      </c>
      <c r="C67" s="17">
        <v>46227</v>
      </c>
      <c r="D67" s="15" t="s">
        <v>747</v>
      </c>
      <c r="E67" s="15" t="s">
        <v>1376</v>
      </c>
      <c r="F67" s="15" t="s">
        <v>912</v>
      </c>
      <c r="G67" s="15" t="s">
        <v>907</v>
      </c>
      <c r="H67" s="15"/>
      <c r="I67" s="15" t="str">
        <f>"Poptávka TURTO - "&amp;A67&amp;" - "&amp;IF(F67=data!$E$1,E67&amp;" - ","")&amp;G67&amp;" - "&amp;DAY(B67)&amp;"."&amp;MONTH(B67)&amp;"."&amp;YEAR(B67)</f>
        <v>Poptávka TURTO - PohlCon - smyková výztuž - 23.7.2026</v>
      </c>
    </row>
    <row r="68" spans="1:9" s="14" customFormat="1">
      <c r="A68" s="15" t="s">
        <v>885</v>
      </c>
      <c r="B68" s="17">
        <v>46226</v>
      </c>
      <c r="C68" s="17">
        <v>46226</v>
      </c>
      <c r="D68" s="15" t="s">
        <v>747</v>
      </c>
      <c r="E68" s="15" t="s">
        <v>1376</v>
      </c>
      <c r="F68" s="15" t="s">
        <v>911</v>
      </c>
      <c r="G68" s="15" t="s">
        <v>906</v>
      </c>
      <c r="H68" s="15"/>
      <c r="I68" s="15" t="str">
        <f>"Poptávka TURTO - "&amp;A68&amp;" - "&amp;IF(F68=data!$E$1,E68&amp;" - ","")&amp;G68&amp;" - "&amp;DAY(B68)&amp;"."&amp;MONTH(B68)&amp;"."&amp;YEAR(B68)</f>
        <v>Poptávka TURTO - Leviat - Pavilon pro matku a dítě - izolační nosníky - 23.7.2026</v>
      </c>
    </row>
    <row r="69" spans="1:9" s="14" customFormat="1">
      <c r="A69" s="15" t="s">
        <v>1379</v>
      </c>
      <c r="B69" s="17">
        <v>46226</v>
      </c>
      <c r="C69" s="17">
        <v>46226</v>
      </c>
      <c r="D69" s="15" t="s">
        <v>665</v>
      </c>
      <c r="E69" s="15" t="s">
        <v>926</v>
      </c>
      <c r="F69" s="15" t="s">
        <v>912</v>
      </c>
      <c r="G69" s="15" t="s">
        <v>1167</v>
      </c>
      <c r="H69" s="15"/>
      <c r="I69" s="15" t="str">
        <f>"Poptávka TURTO - "&amp;A69&amp;" - "&amp;IF(F69=data!$E$1,E69&amp;" - ","")&amp;G69&amp;" - "&amp;DAY(B69)&amp;"."&amp;MONTH(B69)&amp;"."&amp;YEAR(B69)</f>
        <v>Poptávka TURTO - SANAX - Carbo lamela - 23.7.2026</v>
      </c>
    </row>
    <row r="70" spans="1:9" s="14" customFormat="1">
      <c r="A70" s="15" t="s">
        <v>891</v>
      </c>
      <c r="B70" s="17">
        <v>46225</v>
      </c>
      <c r="C70" s="17">
        <v>46227</v>
      </c>
      <c r="D70" s="15" t="s">
        <v>105</v>
      </c>
      <c r="E70" s="15" t="s">
        <v>1206</v>
      </c>
      <c r="F70" s="15" t="s">
        <v>911</v>
      </c>
      <c r="G70" s="15" t="s">
        <v>913</v>
      </c>
      <c r="H70" s="15"/>
      <c r="I70" s="15" t="str">
        <f>"Poptávka TURTO - "&amp;A70&amp;" - "&amp;IF(F70=data!$E$1,E70&amp;" - ","")&amp;G70&amp;" - "&amp;DAY(B70)&amp;"."&amp;MONTH(B70)&amp;"."&amp;YEAR(B70)</f>
        <v>Poptávka TURTO - Nevoga - ČOV Kbely - vylamovací výztuž - 22.7.2026</v>
      </c>
    </row>
    <row r="71" spans="1:9" s="14" customFormat="1">
      <c r="A71" s="15" t="s">
        <v>885</v>
      </c>
      <c r="B71" s="17">
        <v>46225</v>
      </c>
      <c r="C71" s="17">
        <v>46226</v>
      </c>
      <c r="D71" s="15" t="s">
        <v>269</v>
      </c>
      <c r="E71" s="15" t="s">
        <v>1369</v>
      </c>
      <c r="F71" s="15" t="s">
        <v>911</v>
      </c>
      <c r="G71" s="15" t="s">
        <v>906</v>
      </c>
      <c r="H71" s="15"/>
      <c r="I71" s="15" t="str">
        <f>"Poptávka TURTO - "&amp;A71&amp;" - "&amp;IF(F71=data!$E$1,E71&amp;" - ","")&amp;G71&amp;" - "&amp;DAY(B71)&amp;"."&amp;MONTH(B71)&amp;"."&amp;YEAR(B71)</f>
        <v>Poptávka TURTO - Leviat - Rohan City Block B2 - izolační nosníky - 22.7.2026</v>
      </c>
    </row>
    <row r="72" spans="1:9" s="14" customFormat="1" ht="30">
      <c r="A72" s="15" t="s">
        <v>888</v>
      </c>
      <c r="B72" s="17">
        <v>46225</v>
      </c>
      <c r="C72" s="17">
        <v>46225</v>
      </c>
      <c r="D72" s="15" t="s">
        <v>839</v>
      </c>
      <c r="E72" s="15" t="s">
        <v>926</v>
      </c>
      <c r="F72" s="15" t="s">
        <v>912</v>
      </c>
      <c r="G72" s="15" t="s">
        <v>909</v>
      </c>
      <c r="H72" s="15"/>
      <c r="I72" s="15" t="str">
        <f>"Poptávka TURTO - "&amp;A72&amp;" - "&amp;IF(F72=data!$E$1,E72&amp;" - ","")&amp;G72&amp;" - "&amp;DAY(B72)&amp;"."&amp;MONTH(B72)&amp;"."&amp;YEAR(B72)</f>
        <v>Poptávka TURTO - GeroTop - prostupy - 22.7.2026</v>
      </c>
    </row>
    <row r="73" spans="1:9" s="14" customFormat="1">
      <c r="A73" s="15" t="s">
        <v>1166</v>
      </c>
      <c r="B73" s="17">
        <v>46225</v>
      </c>
      <c r="C73" s="17">
        <v>46225</v>
      </c>
      <c r="D73" s="15" t="s">
        <v>665</v>
      </c>
      <c r="E73" s="15" t="s">
        <v>926</v>
      </c>
      <c r="F73" s="15" t="s">
        <v>912</v>
      </c>
      <c r="G73" s="15" t="s">
        <v>1167</v>
      </c>
      <c r="H73" s="15"/>
      <c r="I73" s="15" t="str">
        <f>"Poptávka TURTO - "&amp;A73&amp;" - "&amp;IF(F73=data!$E$1,E73&amp;" - ","")&amp;G73&amp;" - "&amp;DAY(B73)&amp;"."&amp;MONTH(B73)&amp;"."&amp;YEAR(B73)</f>
        <v>Poptávka TURTO - SIKA - Carbo lamela - 22.7.2026</v>
      </c>
    </row>
    <row r="74" spans="1:9" s="14" customFormat="1">
      <c r="A74" s="15" t="s">
        <v>888</v>
      </c>
      <c r="B74" s="17">
        <v>46225</v>
      </c>
      <c r="C74" s="17">
        <v>46225</v>
      </c>
      <c r="D74" s="15" t="s">
        <v>577</v>
      </c>
      <c r="E74" s="15" t="s">
        <v>1374</v>
      </c>
      <c r="F74" s="15" t="s">
        <v>911</v>
      </c>
      <c r="G74" s="15" t="s">
        <v>909</v>
      </c>
      <c r="H74" s="15"/>
      <c r="I74" s="15" t="str">
        <f>"Poptávka TURTO - "&amp;A74&amp;" - "&amp;IF(F74=data!$E$1,E74&amp;" - ","")&amp;G74&amp;" - "&amp;DAY(B74)&amp;"."&amp;MONTH(B74)&amp;"."&amp;YEAR(B74)</f>
        <v>Poptávka TURTO - GeroTop - BD Mlazická - prostupy - 22.7.2026</v>
      </c>
    </row>
    <row r="75" spans="1:9" s="14" customFormat="1">
      <c r="A75" s="15" t="s">
        <v>885</v>
      </c>
      <c r="B75" s="17">
        <v>46225</v>
      </c>
      <c r="C75" s="17">
        <v>46227</v>
      </c>
      <c r="D75" s="15" t="s">
        <v>577</v>
      </c>
      <c r="E75" s="15" t="s">
        <v>1374</v>
      </c>
      <c r="F75" s="15" t="s">
        <v>911</v>
      </c>
      <c r="G75" s="15" t="s">
        <v>906</v>
      </c>
      <c r="H75" s="15"/>
      <c r="I75" s="15" t="str">
        <f>"Poptávka TURTO - "&amp;A75&amp;" - "&amp;IF(F75=data!$E$1,E75&amp;" - ","")&amp;G75&amp;" - "&amp;DAY(B75)&amp;"."&amp;MONTH(B75)&amp;"."&amp;YEAR(B75)</f>
        <v>Poptávka TURTO - Leviat - BD Mlazická - izolační nosníky - 22.7.2026</v>
      </c>
    </row>
    <row r="76" spans="1:9" s="14" customFormat="1" ht="30">
      <c r="A76" s="15" t="s">
        <v>885</v>
      </c>
      <c r="B76" s="17">
        <v>46225</v>
      </c>
      <c r="C76" s="17">
        <v>46226</v>
      </c>
      <c r="D76" s="15" t="s">
        <v>812</v>
      </c>
      <c r="E76" s="15" t="s">
        <v>1370</v>
      </c>
      <c r="F76" s="15" t="s">
        <v>911</v>
      </c>
      <c r="G76" s="15" t="s">
        <v>906</v>
      </c>
      <c r="H76" s="15"/>
      <c r="I76" s="15" t="str">
        <f>"Poptávka TURTO - "&amp;A76&amp;" - "&amp;IF(F76=data!$E$1,E76&amp;" - ","")&amp;G76&amp;" - "&amp;DAY(B76)&amp;"."&amp;MONTH(B76)&amp;"."&amp;YEAR(B76)</f>
        <v>Poptávka TURTO - Leviat - BD Rezidence Máchovo jezero - izolační nosníky - 22.7.2026</v>
      </c>
    </row>
    <row r="77" spans="1:9" s="14" customFormat="1" ht="30">
      <c r="A77" s="15" t="s">
        <v>888</v>
      </c>
      <c r="B77" s="17">
        <v>46225</v>
      </c>
      <c r="C77" s="17">
        <v>46225</v>
      </c>
      <c r="D77" s="15" t="s">
        <v>812</v>
      </c>
      <c r="E77" s="15" t="s">
        <v>1370</v>
      </c>
      <c r="F77" s="15" t="s">
        <v>911</v>
      </c>
      <c r="G77" s="15" t="s">
        <v>909</v>
      </c>
      <c r="H77" s="15"/>
      <c r="I77" s="15" t="str">
        <f>"Poptávka TURTO - "&amp;A77&amp;" - "&amp;IF(F77=data!$E$1,E77&amp;" - ","")&amp;G77&amp;" - "&amp;DAY(B77)&amp;"."&amp;MONTH(B77)&amp;"."&amp;YEAR(B77)</f>
        <v>Poptávka TURTO - GeroTop - BD Rezidence Máchovo jezero - prostupy - 22.7.2026</v>
      </c>
    </row>
    <row r="78" spans="1:9" s="14" customFormat="1">
      <c r="A78" s="15" t="s">
        <v>885</v>
      </c>
      <c r="B78" s="17">
        <v>46224</v>
      </c>
      <c r="C78" s="17">
        <v>46224</v>
      </c>
      <c r="D78" s="15" t="s">
        <v>125</v>
      </c>
      <c r="E78" s="15" t="s">
        <v>1371</v>
      </c>
      <c r="F78" s="15" t="s">
        <v>911</v>
      </c>
      <c r="G78" s="15" t="s">
        <v>906</v>
      </c>
      <c r="H78" s="15"/>
      <c r="I78" s="15" t="str">
        <f>"Poptávka TURTO - "&amp;A78&amp;" - "&amp;IF(F78=data!$E$1,E78&amp;" - ","")&amp;G78&amp;" - "&amp;DAY(B78)&amp;"."&amp;MONTH(B78)&amp;"."&amp;YEAR(B78)</f>
        <v>Poptávka TURTO - Leviat - Jistebník - izolační nosníky - 21.7.2026</v>
      </c>
    </row>
    <row r="79" spans="1:9" s="14" customFormat="1" ht="30">
      <c r="A79" s="15" t="s">
        <v>885</v>
      </c>
      <c r="B79" s="17">
        <v>46224</v>
      </c>
      <c r="C79" s="17">
        <v>46231</v>
      </c>
      <c r="D79" s="15" t="s">
        <v>572</v>
      </c>
      <c r="E79" s="15" t="s">
        <v>1372</v>
      </c>
      <c r="F79" s="15" t="s">
        <v>911</v>
      </c>
      <c r="G79" s="15" t="s">
        <v>906</v>
      </c>
      <c r="H79" s="15"/>
      <c r="I79" s="15" t="str">
        <f>"Poptávka TURTO - "&amp;A79&amp;" - "&amp;IF(F79=data!$E$1,E79&amp;" - ","")&amp;G79&amp;" - "&amp;DAY(B79)&amp;"."&amp;MONTH(B79)&amp;"."&amp;YEAR(B79)</f>
        <v>Poptávka TURTO - Leviat - Nová Waltrovka obj. G1-G7 - izolační nosníky - 21.7.2026</v>
      </c>
    </row>
    <row r="80" spans="1:9" s="14" customFormat="1">
      <c r="A80" s="15" t="s">
        <v>889</v>
      </c>
      <c r="B80" s="17">
        <v>46223</v>
      </c>
      <c r="C80" s="17">
        <v>46223</v>
      </c>
      <c r="D80" s="15" t="s">
        <v>747</v>
      </c>
      <c r="E80" s="15" t="s">
        <v>952</v>
      </c>
      <c r="F80" s="15" t="s">
        <v>912</v>
      </c>
      <c r="G80" s="15" t="s">
        <v>907</v>
      </c>
      <c r="H80" s="15"/>
      <c r="I80" s="15" t="str">
        <f>"Poptávka TURTO - "&amp;A80&amp;" - "&amp;IF(F80=data!$E$1,E80&amp;" - ","")&amp;G80&amp;" - "&amp;DAY(B80)&amp;"."&amp;MONTH(B80)&amp;"."&amp;YEAR(B80)</f>
        <v>Poptávka TURTO - Peikko - smyková výztuž - 20.7.2026</v>
      </c>
    </row>
    <row r="81" spans="1:9" s="14" customFormat="1">
      <c r="A81" s="15" t="s">
        <v>886</v>
      </c>
      <c r="B81" s="17">
        <v>46223</v>
      </c>
      <c r="C81" s="17">
        <v>46223</v>
      </c>
      <c r="D81" s="15" t="s">
        <v>747</v>
      </c>
      <c r="E81" s="15" t="s">
        <v>952</v>
      </c>
      <c r="F81" s="15" t="s">
        <v>912</v>
      </c>
      <c r="G81" s="15" t="s">
        <v>907</v>
      </c>
      <c r="H81" s="15"/>
      <c r="I81" s="15" t="str">
        <f>"Poptávka TURTO - "&amp;A81&amp;" - "&amp;IF(F81=data!$E$1,E81&amp;" - ","")&amp;G81&amp;" - "&amp;DAY(B81)&amp;"."&amp;MONTH(B81)&amp;"."&amp;YEAR(B81)</f>
        <v>Poptávka TURTO - PohlCon - smyková výztuž - 20.7.2026</v>
      </c>
    </row>
    <row r="82" spans="1:9" s="14" customFormat="1" ht="30">
      <c r="A82" s="15" t="s">
        <v>885</v>
      </c>
      <c r="B82" s="17">
        <v>46223</v>
      </c>
      <c r="C82" s="17">
        <v>46223</v>
      </c>
      <c r="D82" s="15" t="s">
        <v>584</v>
      </c>
      <c r="E82" s="15" t="s">
        <v>1214</v>
      </c>
      <c r="F82" s="15" t="s">
        <v>911</v>
      </c>
      <c r="G82" s="15" t="s">
        <v>906</v>
      </c>
      <c r="H82" s="15"/>
      <c r="I82" s="15" t="str">
        <f>"Poptávka TURTO - "&amp;A82&amp;" - "&amp;IF(F82=data!$E$1,E82&amp;" - ","")&amp;G82&amp;" - "&amp;DAY(B82)&amp;"."&amp;MONTH(B82)&amp;"."&amp;YEAR(B82)</f>
        <v>Poptávka TURTO - Leviat - Hůry - izolační nosníky - 20.7.2026</v>
      </c>
    </row>
    <row r="83" spans="1:9" s="14" customFormat="1">
      <c r="A83" s="15" t="s">
        <v>885</v>
      </c>
      <c r="B83" s="17">
        <v>46220</v>
      </c>
      <c r="C83" s="17">
        <v>46220</v>
      </c>
      <c r="D83" s="15" t="s">
        <v>811</v>
      </c>
      <c r="E83" s="15" t="s">
        <v>1147</v>
      </c>
      <c r="F83" s="15" t="s">
        <v>912</v>
      </c>
      <c r="G83" s="15" t="s">
        <v>1043</v>
      </c>
      <c r="H83" s="15"/>
      <c r="I83" s="15" t="str">
        <f>"Poptávka TURTO - "&amp;A83&amp;" - "&amp;IF(F83=data!$E$1,E83&amp;" - ","")&amp;G83&amp;" - "&amp;DAY(B83)&amp;"."&amp;MONTH(B83)&amp;"."&amp;YEAR(B83)</f>
        <v>Poptávka TURTO - Leviat - akustika - 17.7.2026</v>
      </c>
    </row>
    <row r="84" spans="1:9" s="14" customFormat="1">
      <c r="A84" s="15" t="s">
        <v>886</v>
      </c>
      <c r="B84" s="17">
        <v>46220</v>
      </c>
      <c r="C84" s="17">
        <v>46220</v>
      </c>
      <c r="D84" s="15" t="s">
        <v>125</v>
      </c>
      <c r="E84" s="15" t="s">
        <v>926</v>
      </c>
      <c r="F84" s="15" t="s">
        <v>912</v>
      </c>
      <c r="G84" s="15" t="s">
        <v>907</v>
      </c>
      <c r="H84" s="15"/>
      <c r="I84" s="15" t="str">
        <f>"Poptávka TURTO - "&amp;A84&amp;" - "&amp;IF(F84=data!$E$1,E84&amp;" - ","")&amp;G84&amp;" - "&amp;DAY(B84)&amp;"."&amp;MONTH(B84)&amp;"."&amp;YEAR(B84)</f>
        <v>Poptávka TURTO - PohlCon - smyková výztuž - 17.7.2026</v>
      </c>
    </row>
    <row r="85" spans="1:9" s="14" customFormat="1">
      <c r="A85" s="15" t="s">
        <v>889</v>
      </c>
      <c r="B85" s="17">
        <v>46220</v>
      </c>
      <c r="C85" s="17">
        <v>46220</v>
      </c>
      <c r="D85" s="15" t="s">
        <v>125</v>
      </c>
      <c r="E85" s="15" t="s">
        <v>926</v>
      </c>
      <c r="F85" s="15" t="s">
        <v>912</v>
      </c>
      <c r="G85" s="15" t="s">
        <v>907</v>
      </c>
      <c r="H85" s="15"/>
      <c r="I85" s="15" t="str">
        <f>"Poptávka TURTO - "&amp;A85&amp;" - "&amp;IF(F85=data!$E$1,E85&amp;" - ","")&amp;G85&amp;" - "&amp;DAY(B85)&amp;"."&amp;MONTH(B85)&amp;"."&amp;YEAR(B85)</f>
        <v>Poptávka TURTO - Peikko - smyková výztuž - 17.7.2026</v>
      </c>
    </row>
    <row r="86" spans="1:9" s="14" customFormat="1">
      <c r="A86" s="15" t="s">
        <v>891</v>
      </c>
      <c r="B86" s="17">
        <v>46220</v>
      </c>
      <c r="C86" s="17">
        <v>46223</v>
      </c>
      <c r="D86" s="15" t="s">
        <v>760</v>
      </c>
      <c r="E86" s="15" t="s">
        <v>1368</v>
      </c>
      <c r="F86" s="15" t="s">
        <v>912</v>
      </c>
      <c r="G86" s="15" t="s">
        <v>913</v>
      </c>
      <c r="H86" s="15"/>
      <c r="I86" s="15" t="str">
        <f>"Poptávka TURTO - "&amp;A86&amp;" - "&amp;IF(F86=data!$E$1,E86&amp;" - ","")&amp;G86&amp;" - "&amp;DAY(B86)&amp;"."&amp;MONTH(B86)&amp;"."&amp;YEAR(B86)</f>
        <v>Poptávka TURTO - Nevoga - vylamovací výztuž - 17.7.2026</v>
      </c>
    </row>
    <row r="87" spans="1:9" s="14" customFormat="1" ht="30">
      <c r="A87" s="15" t="s">
        <v>940</v>
      </c>
      <c r="B87" s="17">
        <v>46219</v>
      </c>
      <c r="C87" s="17">
        <v>46219</v>
      </c>
      <c r="D87" s="15" t="s">
        <v>475</v>
      </c>
      <c r="E87" s="15" t="s">
        <v>1311</v>
      </c>
      <c r="F87" s="15" t="s">
        <v>912</v>
      </c>
      <c r="G87" s="15" t="s">
        <v>1366</v>
      </c>
      <c r="H87" s="15"/>
      <c r="I87" s="15" t="str">
        <f>"Poptávka TURTO - "&amp;A87&amp;" - "&amp;IF(F87=data!$E$1,E87&amp;" - ","")&amp;G87&amp;" - "&amp;DAY(B87)&amp;"."&amp;MONTH(B87)&amp;"."&amp;YEAR(B87)</f>
        <v>Poptávka TURTO - JFP TRADE - Formtex - 16.7.2026</v>
      </c>
    </row>
    <row r="88" spans="1:9" s="14" customFormat="1" ht="30">
      <c r="A88" s="15" t="s">
        <v>888</v>
      </c>
      <c r="B88" s="17">
        <v>46219</v>
      </c>
      <c r="C88" s="17">
        <v>46219</v>
      </c>
      <c r="D88" s="15" t="s">
        <v>452</v>
      </c>
      <c r="E88" s="15" t="s">
        <v>1265</v>
      </c>
      <c r="F88" s="15" t="s">
        <v>912</v>
      </c>
      <c r="G88" s="15" t="s">
        <v>909</v>
      </c>
      <c r="H88" s="15"/>
      <c r="I88" s="15" t="str">
        <f>"Poptávka TURTO - "&amp;A88&amp;" - "&amp;IF(F88=data!$E$1,E88&amp;" - ","")&amp;G88&amp;" - "&amp;DAY(B88)&amp;"."&amp;MONTH(B88)&amp;"."&amp;YEAR(B88)</f>
        <v>Poptávka TURTO - GeroTop - prostupy - 16.7.2026</v>
      </c>
    </row>
    <row r="89" spans="1:9" s="14" customFormat="1">
      <c r="A89" s="15" t="s">
        <v>885</v>
      </c>
      <c r="B89" s="17">
        <v>46219</v>
      </c>
      <c r="C89" s="17">
        <v>46219</v>
      </c>
      <c r="D89" s="15" t="s">
        <v>811</v>
      </c>
      <c r="E89" s="15" t="s">
        <v>1365</v>
      </c>
      <c r="F89" s="15" t="s">
        <v>911</v>
      </c>
      <c r="G89" s="15" t="s">
        <v>1043</v>
      </c>
      <c r="H89" s="15"/>
      <c r="I89" s="15" t="str">
        <f>"Poptávka TURTO - "&amp;A89&amp;" - "&amp;IF(F89=data!$E$1,E89&amp;" - ","")&amp;G89&amp;" - "&amp;DAY(B89)&amp;"."&amp;MONTH(B89)&amp;"."&amp;YEAR(B89)</f>
        <v>Poptávka TURTO - Leviat - AD Otakarova - akustika - 16.7.2026</v>
      </c>
    </row>
    <row r="90" spans="1:9" s="14" customFormat="1">
      <c r="A90" s="15" t="s">
        <v>889</v>
      </c>
      <c r="B90" s="17">
        <v>46219</v>
      </c>
      <c r="C90" s="17">
        <v>46219</v>
      </c>
      <c r="D90" s="15" t="s">
        <v>811</v>
      </c>
      <c r="E90" s="15" t="s">
        <v>1365</v>
      </c>
      <c r="F90" s="15" t="s">
        <v>911</v>
      </c>
      <c r="G90" s="15" t="s">
        <v>907</v>
      </c>
      <c r="H90" s="15"/>
      <c r="I90" s="15" t="str">
        <f>"Poptávka TURTO - "&amp;A90&amp;" - "&amp;IF(F90=data!$E$1,E90&amp;" - ","")&amp;G90&amp;" - "&amp;DAY(B90)&amp;"."&amp;MONTH(B90)&amp;"."&amp;YEAR(B90)</f>
        <v>Poptávka TURTO - Peikko - AD Otakarova - smyková výztuž - 16.7.2026</v>
      </c>
    </row>
    <row r="91" spans="1:9" s="14" customFormat="1">
      <c r="A91" s="15" t="s">
        <v>886</v>
      </c>
      <c r="B91" s="17">
        <v>46219</v>
      </c>
      <c r="C91" s="17">
        <v>46219</v>
      </c>
      <c r="D91" s="15" t="s">
        <v>811</v>
      </c>
      <c r="E91" s="15" t="s">
        <v>1365</v>
      </c>
      <c r="F91" s="15" t="s">
        <v>912</v>
      </c>
      <c r="G91" s="15" t="s">
        <v>907</v>
      </c>
      <c r="H91" s="15"/>
      <c r="I91" s="15" t="str">
        <f>"Poptávka TURTO - "&amp;A91&amp;" - "&amp;IF(F91=data!$E$1,E91&amp;" - ","")&amp;G91&amp;" - "&amp;DAY(B91)&amp;"."&amp;MONTH(B91)&amp;"."&amp;YEAR(B91)</f>
        <v>Poptávka TURTO - PohlCon - smyková výztuž - 16.7.2026</v>
      </c>
    </row>
    <row r="92" spans="1:9" s="14" customFormat="1">
      <c r="A92" s="15" t="s">
        <v>888</v>
      </c>
      <c r="B92" s="17">
        <v>46219</v>
      </c>
      <c r="C92" s="17">
        <v>46219</v>
      </c>
      <c r="D92" s="15" t="s">
        <v>215</v>
      </c>
      <c r="E92" s="15" t="s">
        <v>1364</v>
      </c>
      <c r="F92" s="15" t="s">
        <v>911</v>
      </c>
      <c r="G92" s="15" t="s">
        <v>909</v>
      </c>
      <c r="H92" s="15"/>
      <c r="I92" s="15" t="str">
        <f>"Poptávka TURTO - "&amp;A92&amp;" - "&amp;IF(F92=data!$E$1,E92&amp;" - ","")&amp;G92&amp;" - "&amp;DAY(B92)&amp;"."&amp;MONTH(B92)&amp;"."&amp;YEAR(B92)</f>
        <v>Poptávka TURTO - GeroTop - Dělnický dům PEKLO - prostupy - 16.7.2026</v>
      </c>
    </row>
    <row r="93" spans="1:9" s="14" customFormat="1">
      <c r="A93" s="15" t="s">
        <v>889</v>
      </c>
      <c r="B93" s="17">
        <v>46217</v>
      </c>
      <c r="C93" s="17">
        <v>46224</v>
      </c>
      <c r="D93" s="15" t="s">
        <v>71</v>
      </c>
      <c r="E93" s="15" t="s">
        <v>1255</v>
      </c>
      <c r="F93" s="15" t="s">
        <v>911</v>
      </c>
      <c r="G93" s="15" t="s">
        <v>906</v>
      </c>
      <c r="H93" s="15"/>
      <c r="I93" s="15" t="str">
        <f>"Poptávka TURTO - "&amp;A93&amp;" - "&amp;IF(F93=data!$E$1,E93&amp;" - ","")&amp;G93&amp;" - "&amp;DAY(B93)&amp;"."&amp;MONTH(B93)&amp;"."&amp;YEAR(B93)</f>
        <v>Poptávka TURTO - Peikko - BIDFOOD Kralupy - izolační nosníky - 14.7.2026</v>
      </c>
    </row>
    <row r="94" spans="1:9" s="14" customFormat="1">
      <c r="A94" s="15" t="s">
        <v>889</v>
      </c>
      <c r="B94" s="17">
        <v>46217</v>
      </c>
      <c r="C94" s="17">
        <v>46223</v>
      </c>
      <c r="D94" s="15" t="s">
        <v>760</v>
      </c>
      <c r="E94" s="15" t="s">
        <v>65</v>
      </c>
      <c r="F94" s="15" t="s">
        <v>911</v>
      </c>
      <c r="G94" s="15" t="s">
        <v>906</v>
      </c>
      <c r="H94" s="15"/>
      <c r="I94" s="15" t="str">
        <f>"Poptávka TURTO - "&amp;A94&amp;" - "&amp;IF(F94=data!$E$1,E94&amp;" - ","")&amp;G94&amp;" - "&amp;DAY(B94)&amp;"."&amp;MONTH(B94)&amp;"."&amp;YEAR(B94)</f>
        <v>Poptávka TURTO - Peikko - Galerie Pardubice - izolační nosníky - 14.7.2026</v>
      </c>
    </row>
    <row r="95" spans="1:9" s="14" customFormat="1">
      <c r="A95" s="15" t="s">
        <v>885</v>
      </c>
      <c r="B95" s="17">
        <v>46217</v>
      </c>
      <c r="C95" s="17">
        <v>46217</v>
      </c>
      <c r="D95" s="15" t="s">
        <v>577</v>
      </c>
      <c r="E95" s="15" t="s">
        <v>937</v>
      </c>
      <c r="F95" s="15" t="s">
        <v>911</v>
      </c>
      <c r="G95" s="15" t="s">
        <v>1163</v>
      </c>
      <c r="H95" s="15"/>
      <c r="I95" s="15" t="str">
        <f>"Poptávka TURTO - "&amp;A95&amp;" - "&amp;IF(F95=data!$E$1,E95&amp;" - ","")&amp;G95&amp;" - "&amp;DAY(B95)&amp;"."&amp;MONTH(B95)&amp;"."&amp;YEAR(B95)</f>
        <v>Poptávka TURTO - Leviat - BD Parmská - HTA - 14.7.2026</v>
      </c>
    </row>
    <row r="96" spans="1:9" s="14" customFormat="1">
      <c r="A96" s="15" t="s">
        <v>885</v>
      </c>
      <c r="B96" s="17">
        <v>46217</v>
      </c>
      <c r="C96" s="17">
        <v>46217</v>
      </c>
      <c r="D96" s="15" t="s">
        <v>278</v>
      </c>
      <c r="E96" s="15" t="s">
        <v>1300</v>
      </c>
      <c r="F96" s="15" t="s">
        <v>911</v>
      </c>
      <c r="G96" s="15" t="s">
        <v>906</v>
      </c>
      <c r="H96" s="15"/>
      <c r="I96" s="15" t="str">
        <f>"Poptávka TURTO - "&amp;A96&amp;" - "&amp;IF(F96=data!$E$1,E96&amp;" - ","")&amp;G96&amp;" - "&amp;DAY(B96)&amp;"."&amp;MONTH(B96)&amp;"."&amp;YEAR(B96)</f>
        <v>Poptávka TURTO - Leviat - RD Zbuzany - izolační nosníky - 14.7.2026</v>
      </c>
    </row>
    <row r="97" spans="1:9" s="14" customFormat="1">
      <c r="A97" s="15" t="s">
        <v>985</v>
      </c>
      <c r="B97" s="17">
        <v>46217</v>
      </c>
      <c r="C97" s="17">
        <v>46220</v>
      </c>
      <c r="D97" s="15" t="s">
        <v>747</v>
      </c>
      <c r="E97" s="15" t="s">
        <v>1354</v>
      </c>
      <c r="F97" s="15" t="s">
        <v>912</v>
      </c>
      <c r="G97" s="15" t="s">
        <v>986</v>
      </c>
      <c r="H97" s="15"/>
      <c r="I97" s="15" t="str">
        <f>"Poptávka TURTO - "&amp;A97&amp;" - "&amp;IF(F97=data!$E$1,E97&amp;" - ","")&amp;G97&amp;" - "&amp;DAY(B97)&amp;"."&amp;MONTH(B97)&amp;"."&amp;YEAR(B97)</f>
        <v>Poptávka TURTO - EXPAN - dilatační profil - 14.7.2026</v>
      </c>
    </row>
    <row r="98" spans="1:9" s="14" customFormat="1">
      <c r="A98" s="15" t="s">
        <v>886</v>
      </c>
      <c r="B98" s="17">
        <v>46217</v>
      </c>
      <c r="C98" s="17">
        <v>46217</v>
      </c>
      <c r="D98" s="15" t="s">
        <v>125</v>
      </c>
      <c r="E98" s="15" t="s">
        <v>926</v>
      </c>
      <c r="F98" s="15" t="s">
        <v>912</v>
      </c>
      <c r="G98" s="15" t="s">
        <v>907</v>
      </c>
      <c r="H98" s="15"/>
      <c r="I98" s="15" t="str">
        <f>"Poptávka TURTO - "&amp;A98&amp;" - "&amp;IF(F98=data!$E$1,E98&amp;" - ","")&amp;G98&amp;" - "&amp;DAY(B98)&amp;"."&amp;MONTH(B98)&amp;"."&amp;YEAR(B98)</f>
        <v>Poptávka TURTO - PohlCon - smyková výztuž - 14.7.2026</v>
      </c>
    </row>
    <row r="99" spans="1:9" s="14" customFormat="1" ht="30">
      <c r="A99" s="15" t="s">
        <v>886</v>
      </c>
      <c r="B99" s="17">
        <v>46216</v>
      </c>
      <c r="C99" s="17">
        <v>46216</v>
      </c>
      <c r="D99" s="15" t="s">
        <v>98</v>
      </c>
      <c r="E99" s="15" t="s">
        <v>1360</v>
      </c>
      <c r="F99" s="15" t="s">
        <v>912</v>
      </c>
      <c r="G99" s="15" t="s">
        <v>907</v>
      </c>
      <c r="H99" s="15"/>
      <c r="I99" s="15" t="str">
        <f>"Poptávka TURTO - "&amp;A99&amp;" - "&amp;IF(F99=data!$E$1,E99&amp;" - ","")&amp;G99&amp;" - "&amp;DAY(B99)&amp;"."&amp;MONTH(B99)&amp;"."&amp;YEAR(B99)</f>
        <v>Poptávka TURTO - PohlCon - smyková výztuž - 13.7.2026</v>
      </c>
    </row>
    <row r="100" spans="1:9" s="14" customFormat="1" ht="30">
      <c r="A100" s="15" t="s">
        <v>885</v>
      </c>
      <c r="B100" s="17">
        <v>46216</v>
      </c>
      <c r="C100" s="17">
        <v>46217</v>
      </c>
      <c r="D100" s="15" t="s">
        <v>98</v>
      </c>
      <c r="E100" s="15" t="s">
        <v>1360</v>
      </c>
      <c r="F100" s="15" t="s">
        <v>911</v>
      </c>
      <c r="G100" s="15" t="s">
        <v>1043</v>
      </c>
      <c r="H100" s="15"/>
      <c r="I100" s="15" t="str">
        <f>"Poptávka TURTO - "&amp;A100&amp;" - "&amp;IF(F100=data!$E$1,E100&amp;" - ","")&amp;G100&amp;" - "&amp;DAY(B100)&amp;"."&amp;MONTH(B100)&amp;"."&amp;YEAR(B100)</f>
        <v>Poptávka TURTO - Leviat - PD Mukařov - akustika - 13.7.2026</v>
      </c>
    </row>
    <row r="101" spans="1:9" s="14" customFormat="1">
      <c r="A101" s="15" t="s">
        <v>889</v>
      </c>
      <c r="B101" s="17">
        <v>46216</v>
      </c>
      <c r="C101" s="17">
        <v>46219</v>
      </c>
      <c r="D101" s="15" t="s">
        <v>269</v>
      </c>
      <c r="E101" s="15" t="s">
        <v>1119</v>
      </c>
      <c r="F101" s="15" t="s">
        <v>911</v>
      </c>
      <c r="G101" s="15" t="s">
        <v>914</v>
      </c>
      <c r="H101" s="15"/>
      <c r="I101" s="15" t="str">
        <f>"Poptávka TURTO - "&amp;A101&amp;" - "&amp;IF(F101=data!$E$1,E101&amp;" - ","")&amp;G101&amp;" - "&amp;DAY(B101)&amp;"."&amp;MONTH(B101)&amp;"."&amp;YEAR(B101)</f>
        <v>Poptávka TURTO - Peikko - Na Homoli - mezivýplň - 13.7.2026</v>
      </c>
    </row>
    <row r="102" spans="1:9" s="14" customFormat="1">
      <c r="A102" s="15" t="s">
        <v>885</v>
      </c>
      <c r="B102" s="17">
        <v>46216</v>
      </c>
      <c r="C102" s="17">
        <v>46216</v>
      </c>
      <c r="D102" s="15" t="s">
        <v>811</v>
      </c>
      <c r="E102" s="15" t="s">
        <v>1358</v>
      </c>
      <c r="F102" s="15" t="s">
        <v>911</v>
      </c>
      <c r="G102" s="15" t="s">
        <v>906</v>
      </c>
      <c r="H102" s="15"/>
      <c r="I102" s="15" t="str">
        <f>"Poptávka TURTO - "&amp;A102&amp;" - "&amp;IF(F102=data!$E$1,E102&amp;" - ","")&amp;G102&amp;" - "&amp;DAY(B102)&amp;"."&amp;MONTH(B102)&amp;"."&amp;YEAR(B102)</f>
        <v>Poptávka TURTO - Leviat - Nedvězí u Olomouce - izolační nosníky - 13.7.2026</v>
      </c>
    </row>
    <row r="103" spans="1:9" s="14" customFormat="1">
      <c r="A103" s="15" t="s">
        <v>886</v>
      </c>
      <c r="B103" s="17">
        <v>46212</v>
      </c>
      <c r="C103" s="17">
        <v>46212</v>
      </c>
      <c r="D103" s="15" t="s">
        <v>821</v>
      </c>
      <c r="E103" s="15" t="s">
        <v>1357</v>
      </c>
      <c r="F103" s="15" t="s">
        <v>912</v>
      </c>
      <c r="G103" s="15" t="s">
        <v>907</v>
      </c>
      <c r="H103" s="15"/>
      <c r="I103" s="15" t="str">
        <f>"Poptávka TURTO - "&amp;A103&amp;" - "&amp;IF(F103=data!$E$1,E103&amp;" - ","")&amp;G103&amp;" - "&amp;DAY(B103)&amp;"."&amp;MONTH(B103)&amp;"."&amp;YEAR(B103)</f>
        <v>Poptávka TURTO - PohlCon - smyková výztuž - 9.7.2026</v>
      </c>
    </row>
    <row r="104" spans="1:9" s="14" customFormat="1">
      <c r="A104" s="15" t="s">
        <v>889</v>
      </c>
      <c r="B104" s="17">
        <v>46212</v>
      </c>
      <c r="C104" s="17">
        <v>46213</v>
      </c>
      <c r="D104" s="15" t="s">
        <v>821</v>
      </c>
      <c r="E104" s="15" t="s">
        <v>1357</v>
      </c>
      <c r="F104" s="15" t="s">
        <v>911</v>
      </c>
      <c r="G104" s="15" t="s">
        <v>907</v>
      </c>
      <c r="H104" s="15"/>
      <c r="I104" s="15" t="str">
        <f>"Poptávka TURTO - "&amp;A104&amp;" - "&amp;IF(F104=data!$E$1,E104&amp;" - ","")&amp;G104&amp;" - "&amp;DAY(B104)&amp;"."&amp;MONTH(B104)&amp;"."&amp;YEAR(B104)</f>
        <v>Poptávka TURTO - Peikko - Branišovská - smyková výztuž - 9.7.2026</v>
      </c>
    </row>
    <row r="105" spans="1:9" s="14" customFormat="1" ht="30">
      <c r="A105" s="15" t="s">
        <v>940</v>
      </c>
      <c r="B105" s="17">
        <v>46212</v>
      </c>
      <c r="C105" s="17">
        <v>46212</v>
      </c>
      <c r="D105" s="15" t="s">
        <v>747</v>
      </c>
      <c r="E105" s="15" t="s">
        <v>1355</v>
      </c>
      <c r="F105" s="15" t="s">
        <v>912</v>
      </c>
      <c r="G105" s="15" t="s">
        <v>941</v>
      </c>
      <c r="H105" s="15"/>
      <c r="I105" s="15" t="str">
        <f>"Poptávka TURTO - "&amp;A105&amp;" - "&amp;IF(F105=data!$E$1,E105&amp;" - ","")&amp;G105&amp;" - "&amp;DAY(B105)&amp;"."&amp;MONTH(B105)&amp;"."&amp;YEAR(B105)</f>
        <v>Poptávka TURTO - JFP TRADE - Sylomer - 9.7.2026</v>
      </c>
    </row>
    <row r="106" spans="1:9" s="14" customFormat="1">
      <c r="A106" s="15" t="s">
        <v>889</v>
      </c>
      <c r="B106" s="17">
        <v>46211</v>
      </c>
      <c r="C106" s="17">
        <v>46233</v>
      </c>
      <c r="D106" s="15" t="s">
        <v>1134</v>
      </c>
      <c r="E106" s="15" t="s">
        <v>1133</v>
      </c>
      <c r="F106" s="15" t="s">
        <v>911</v>
      </c>
      <c r="G106" s="15" t="s">
        <v>906</v>
      </c>
      <c r="H106" s="15"/>
      <c r="I106" s="15" t="str">
        <f>"Poptávka TURTO - "&amp;A106&amp;" - "&amp;IF(F106=data!$E$1,E106&amp;" - ","")&amp;G106&amp;" - "&amp;DAY(B106)&amp;"."&amp;MONTH(B106)&amp;"."&amp;YEAR(B106)</f>
        <v>Poptávka TURTO - Peikko - Hangár letiště Čáslav - izolační nosníky - 8.7.2026</v>
      </c>
    </row>
    <row r="107" spans="1:9" s="14" customFormat="1" ht="30">
      <c r="A107" s="15" t="s">
        <v>885</v>
      </c>
      <c r="B107" s="17">
        <v>46211</v>
      </c>
      <c r="C107" s="17">
        <v>46212</v>
      </c>
      <c r="D107" s="15" t="s">
        <v>557</v>
      </c>
      <c r="E107" s="15" t="s">
        <v>14</v>
      </c>
      <c r="F107" s="15" t="s">
        <v>911</v>
      </c>
      <c r="G107" s="15" t="s">
        <v>906</v>
      </c>
      <c r="H107" s="15"/>
      <c r="I107" s="15" t="str">
        <f>"Poptávka TURTO - "&amp;A107&amp;" - "&amp;IF(F107=data!$E$1,E107&amp;" - ","")&amp;G107&amp;" - "&amp;DAY(B107)&amp;"."&amp;MONTH(B107)&amp;"."&amp;YEAR(B107)</f>
        <v>Poptávka TURTO - Leviat - BD Starochodovská - izolační nosníky - 8.7.2026</v>
      </c>
    </row>
    <row r="108" spans="1:9" s="14" customFormat="1">
      <c r="A108" s="15" t="s">
        <v>885</v>
      </c>
      <c r="B108" s="17">
        <v>46211</v>
      </c>
      <c r="C108" s="17">
        <v>46211</v>
      </c>
      <c r="D108" s="15" t="s">
        <v>812</v>
      </c>
      <c r="E108" s="15" t="s">
        <v>19</v>
      </c>
      <c r="F108" s="15" t="s">
        <v>911</v>
      </c>
      <c r="G108" s="15" t="s">
        <v>906</v>
      </c>
      <c r="H108" s="15"/>
      <c r="I108" s="15" t="str">
        <f>"Poptávka TURTO - "&amp;A108&amp;" - "&amp;IF(F108=data!$E$1,E108&amp;" - ","")&amp;G108&amp;" - "&amp;DAY(B108)&amp;"."&amp;MONTH(B108)&amp;"."&amp;YEAR(B108)</f>
        <v>Poptávka TURTO - Leviat - Česká mincovna Jablonec - izolační nosníky - 8.7.2026</v>
      </c>
    </row>
    <row r="109" spans="1:9" s="14" customFormat="1">
      <c r="A109" s="15" t="s">
        <v>888</v>
      </c>
      <c r="B109" s="17">
        <v>46211</v>
      </c>
      <c r="C109" s="17"/>
      <c r="D109" s="15" t="s">
        <v>747</v>
      </c>
      <c r="E109" s="15" t="s">
        <v>1349</v>
      </c>
      <c r="F109" s="15" t="s">
        <v>911</v>
      </c>
      <c r="G109" s="15" t="s">
        <v>909</v>
      </c>
      <c r="H109" s="15"/>
      <c r="I109" s="15" t="str">
        <f>"Poptávka TURTO - "&amp;A109&amp;" - "&amp;IF(F109=data!$E$1,E109&amp;" - ","")&amp;G109&amp;" - "&amp;DAY(B109)&amp;"."&amp;MONTH(B109)&amp;"."&amp;YEAR(B109)</f>
        <v>Poptávka TURTO - GeroTop - Palác Hybernia - prostupy - 8.7.2026</v>
      </c>
    </row>
    <row r="110" spans="1:9" s="14" customFormat="1" ht="30">
      <c r="A110" s="15" t="s">
        <v>889</v>
      </c>
      <c r="B110" s="17">
        <v>46210</v>
      </c>
      <c r="C110" s="17">
        <v>46230</v>
      </c>
      <c r="D110" s="15" t="s">
        <v>572</v>
      </c>
      <c r="E110" s="15" t="s">
        <v>1318</v>
      </c>
      <c r="F110" s="15" t="s">
        <v>911</v>
      </c>
      <c r="G110" s="15" t="s">
        <v>906</v>
      </c>
      <c r="H110" s="15"/>
      <c r="I110" s="15" t="str">
        <f>"Poptávka TURTO - "&amp;A110&amp;" - "&amp;IF(F110=data!$E$1,E110&amp;" - ","")&amp;G110&amp;" - "&amp;DAY(B110)&amp;"."&amp;MONTH(B110)&amp;"."&amp;YEAR(B110)</f>
        <v>Poptávka TURTO - Peikko - OS Nad Čimickým Údolím - izolační nosníky - 7.7.2026</v>
      </c>
    </row>
    <row r="111" spans="1:9" s="14" customFormat="1">
      <c r="A111" s="15" t="s">
        <v>885</v>
      </c>
      <c r="B111" s="17">
        <v>46210</v>
      </c>
      <c r="C111" s="17">
        <v>46211</v>
      </c>
      <c r="D111" s="15" t="s">
        <v>747</v>
      </c>
      <c r="E111" s="15" t="s">
        <v>1355</v>
      </c>
      <c r="F111" s="15" t="s">
        <v>911</v>
      </c>
      <c r="G111" s="15" t="s">
        <v>906</v>
      </c>
      <c r="H111" s="15"/>
      <c r="I111" s="15" t="str">
        <f>"Poptávka TURTO - "&amp;A111&amp;" - "&amp;IF(F111=data!$E$1,E111&amp;" - ","")&amp;G111&amp;" - "&amp;DAY(B111)&amp;"."&amp;MONTH(B111)&amp;"."&amp;YEAR(B111)</f>
        <v>Poptávka TURTO - Leviat - Bydlení META Modřany - izolační nosníky - 7.7.2026</v>
      </c>
    </row>
    <row r="112" spans="1:9" s="14" customFormat="1" ht="30">
      <c r="A112" s="15" t="s">
        <v>885</v>
      </c>
      <c r="B112" s="17">
        <v>46210</v>
      </c>
      <c r="C112" s="17">
        <v>46211</v>
      </c>
      <c r="D112" s="15" t="s">
        <v>484</v>
      </c>
      <c r="E112" s="15" t="s">
        <v>1350</v>
      </c>
      <c r="F112" s="15" t="s">
        <v>911</v>
      </c>
      <c r="G112" s="15" t="s">
        <v>64</v>
      </c>
      <c r="H112" s="15"/>
      <c r="I112" s="15" t="str">
        <f>"Poptávka TURTO - "&amp;A112&amp;" - "&amp;IF(F112=data!$E$1,E112&amp;" - ","")&amp;G112&amp;" - "&amp;DAY(B112)&amp;"."&amp;MONTH(B112)&amp;"."&amp;YEAR(B112)</f>
        <v>Poptávka TURTO - Leviat - Linecká čtvrť - České Budějovice - smykové trny - 7.7.2026</v>
      </c>
    </row>
    <row r="113" spans="1:9" s="14" customFormat="1" ht="30">
      <c r="A113" s="15" t="s">
        <v>889</v>
      </c>
      <c r="B113" s="17">
        <v>46210</v>
      </c>
      <c r="C113" s="17">
        <v>46211</v>
      </c>
      <c r="D113" s="15" t="s">
        <v>484</v>
      </c>
      <c r="E113" s="15" t="s">
        <v>1350</v>
      </c>
      <c r="F113" s="15" t="s">
        <v>912</v>
      </c>
      <c r="G113" s="15" t="s">
        <v>64</v>
      </c>
      <c r="H113" s="15" t="s">
        <v>1356</v>
      </c>
      <c r="I113" s="15" t="str">
        <f>"Poptávka TURTO - "&amp;A113&amp;" - "&amp;IF(F113=data!$E$1,E113&amp;" - ","")&amp;G113&amp;" - "&amp;DAY(B113)&amp;"."&amp;MONTH(B113)&amp;"."&amp;YEAR(B113)</f>
        <v>Poptávka TURTO - Peikko - smykové trny - 7.7.2026</v>
      </c>
    </row>
    <row r="114" spans="1:9" s="14" customFormat="1" ht="30">
      <c r="A114" s="15" t="s">
        <v>886</v>
      </c>
      <c r="B114" s="17">
        <v>46210</v>
      </c>
      <c r="C114" s="17">
        <v>46211</v>
      </c>
      <c r="D114" s="15" t="s">
        <v>484</v>
      </c>
      <c r="E114" s="15" t="s">
        <v>1350</v>
      </c>
      <c r="F114" s="15" t="s">
        <v>912</v>
      </c>
      <c r="G114" s="15" t="s">
        <v>64</v>
      </c>
      <c r="H114" s="15"/>
      <c r="I114" s="15" t="str">
        <f>"Poptávka TURTO - "&amp;A114&amp;" - "&amp;IF(F114=data!$E$1,E114&amp;" - ","")&amp;G114&amp;" - "&amp;DAY(B114)&amp;"."&amp;MONTH(B114)&amp;"."&amp;YEAR(B114)</f>
        <v>Poptávka TURTO - PohlCon - smykové trny - 7.7.2026</v>
      </c>
    </row>
    <row r="115" spans="1:9" s="14" customFormat="1">
      <c r="A115" s="15" t="s">
        <v>891</v>
      </c>
      <c r="B115" s="17">
        <v>46210</v>
      </c>
      <c r="C115" s="17">
        <v>46212</v>
      </c>
      <c r="D115" s="15" t="s">
        <v>747</v>
      </c>
      <c r="E115" s="15" t="s">
        <v>1030</v>
      </c>
      <c r="F115" s="15" t="s">
        <v>912</v>
      </c>
      <c r="G115" s="15" t="s">
        <v>913</v>
      </c>
      <c r="H115" s="15"/>
      <c r="I115" s="15" t="str">
        <f>"Poptávka TURTO - "&amp;A115&amp;" - "&amp;IF(F115=data!$E$1,E115&amp;" - ","")&amp;G115&amp;" - "&amp;DAY(B115)&amp;"."&amp;MONTH(B115)&amp;"."&amp;YEAR(B115)</f>
        <v>Poptávka TURTO - Nevoga - vylamovací výztuž - 7.7.2026</v>
      </c>
    </row>
    <row r="116" spans="1:9" s="14" customFormat="1">
      <c r="A116" s="15" t="s">
        <v>889</v>
      </c>
      <c r="B116" s="17">
        <v>46209</v>
      </c>
      <c r="C116" s="17">
        <v>46210</v>
      </c>
      <c r="D116" s="15" t="s">
        <v>747</v>
      </c>
      <c r="E116" s="15" t="s">
        <v>1030</v>
      </c>
      <c r="F116" s="15" t="s">
        <v>911</v>
      </c>
      <c r="G116" s="15" t="s">
        <v>907</v>
      </c>
      <c r="H116" s="15"/>
      <c r="I116" s="15" t="str">
        <f>"Poptávka TURTO - "&amp;A116&amp;" - "&amp;IF(F116=data!$E$1,E116&amp;" - ","")&amp;G116&amp;" - "&amp;DAY(B116)&amp;"."&amp;MONTH(B116)&amp;"."&amp;YEAR(B116)</f>
        <v>Poptávka TURTO - Peikko - Vinohradská - smyková výztuž - 6.7.2026</v>
      </c>
    </row>
    <row r="117" spans="1:9" s="14" customFormat="1" ht="30">
      <c r="A117" s="15" t="s">
        <v>940</v>
      </c>
      <c r="B117" s="17">
        <v>46206</v>
      </c>
      <c r="C117" s="17">
        <v>46206</v>
      </c>
      <c r="D117" s="15" t="s">
        <v>578</v>
      </c>
      <c r="E117" s="15" t="s">
        <v>28</v>
      </c>
      <c r="F117" s="15" t="s">
        <v>912</v>
      </c>
      <c r="G117" s="15" t="s">
        <v>941</v>
      </c>
      <c r="H117" s="15"/>
      <c r="I117" s="15" t="str">
        <f>"Poptávka TURTO - "&amp;A117&amp;" - "&amp;IF(F117=data!$E$1,E117&amp;" - ","")&amp;G117&amp;" - "&amp;DAY(B117)&amp;"."&amp;MONTH(B117)&amp;"."&amp;YEAR(B117)</f>
        <v>Poptávka TURTO - JFP TRADE - Sylomer - 3.7.2026</v>
      </c>
    </row>
    <row r="118" spans="1:9" s="14" customFormat="1" ht="30">
      <c r="A118" s="15" t="s">
        <v>1181</v>
      </c>
      <c r="B118" s="17">
        <v>46206</v>
      </c>
      <c r="C118" s="17">
        <v>46206</v>
      </c>
      <c r="D118" s="15" t="s">
        <v>578</v>
      </c>
      <c r="E118" s="15" t="s">
        <v>28</v>
      </c>
      <c r="F118" s="15" t="s">
        <v>911</v>
      </c>
      <c r="G118" s="15" t="s">
        <v>959</v>
      </c>
      <c r="H118" s="15"/>
      <c r="I118" s="15" t="str">
        <f>"Poptávka TURTO - "&amp;A118&amp;" - "&amp;IF(F118=data!$E$1,E118&amp;" - ","")&amp;G118&amp;" - "&amp;DAY(B118)&amp;"."&amp;MONTH(B118)&amp;"."&amp;YEAR(B118)</f>
        <v>Poptávka TURTO - calenberg - Křeslická - vibroizolace - 3.7.2026</v>
      </c>
    </row>
    <row r="119" spans="1:9" s="14" customFormat="1">
      <c r="A119" s="15" t="s">
        <v>885</v>
      </c>
      <c r="B119" s="17">
        <v>46205</v>
      </c>
      <c r="C119" s="17">
        <v>46206</v>
      </c>
      <c r="D119" s="15" t="s">
        <v>386</v>
      </c>
      <c r="E119" s="15" t="s">
        <v>1346</v>
      </c>
      <c r="F119" s="15" t="s">
        <v>911</v>
      </c>
      <c r="G119" s="15" t="s">
        <v>906</v>
      </c>
      <c r="H119" s="15"/>
      <c r="I119" s="15" t="str">
        <f>"Poptávka TURTO - "&amp;A119&amp;" - "&amp;IF(F119=data!$E$1,E119&amp;" - ","")&amp;G119&amp;" - "&amp;DAY(B119)&amp;"."&amp;MONTH(B119)&amp;"."&amp;YEAR(B119)</f>
        <v>Poptávka TURTO - Leviat - Chata Krásná - izolační nosníky - 2.7.2026</v>
      </c>
    </row>
    <row r="120" spans="1:9" s="14" customFormat="1">
      <c r="A120" s="15" t="s">
        <v>888</v>
      </c>
      <c r="B120" s="17">
        <v>46205</v>
      </c>
      <c r="C120" s="17"/>
      <c r="D120" s="15" t="s">
        <v>976</v>
      </c>
      <c r="E120" s="15" t="s">
        <v>1343</v>
      </c>
      <c r="F120" s="15" t="s">
        <v>911</v>
      </c>
      <c r="G120" s="15" t="s">
        <v>909</v>
      </c>
      <c r="H120" s="15"/>
      <c r="I120" s="15" t="str">
        <f>"Poptávka TURTO - "&amp;A120&amp;" - "&amp;IF(F120=data!$E$1,E120&amp;" - ","")&amp;G120&amp;" - "&amp;DAY(B120)&amp;"."&amp;MONTH(B120)&amp;"."&amp;YEAR(B120)</f>
        <v>Poptávka TURTO - GeroTop - Trafostanice Skvrňany - prostupy - 2.7.2026</v>
      </c>
    </row>
    <row r="121" spans="1:9" s="14" customFormat="1" ht="30">
      <c r="A121" s="15" t="s">
        <v>889</v>
      </c>
      <c r="B121" s="17">
        <v>46204</v>
      </c>
      <c r="C121" s="17">
        <v>46211</v>
      </c>
      <c r="D121" s="15" t="s">
        <v>141</v>
      </c>
      <c r="E121" s="15" t="s">
        <v>1335</v>
      </c>
      <c r="F121" s="15" t="s">
        <v>911</v>
      </c>
      <c r="G121" s="15" t="s">
        <v>906</v>
      </c>
      <c r="H121" s="15"/>
      <c r="I121" s="15" t="str">
        <f>"Poptávka TURTO - "&amp;A121&amp;" - "&amp;IF(F121=data!$E$1,E121&amp;" - ","")&amp;G121&amp;" - "&amp;DAY(B121)&amp;"."&amp;MONTH(B121)&amp;"."&amp;YEAR(B121)</f>
        <v>Poptávka TURTO - Peikko - Dolní stanice Hromovka 2 - izolační nosníky - 1.7.2026</v>
      </c>
    </row>
    <row r="122" spans="1:9" s="14" customFormat="1">
      <c r="A122" s="15" t="s">
        <v>886</v>
      </c>
      <c r="B122" s="17">
        <v>46204</v>
      </c>
      <c r="C122" s="17">
        <v>46204</v>
      </c>
      <c r="D122" s="15" t="s">
        <v>141</v>
      </c>
      <c r="E122" s="15" t="s">
        <v>1335</v>
      </c>
      <c r="F122" s="15" t="s">
        <v>912</v>
      </c>
      <c r="G122" s="15" t="s">
        <v>906</v>
      </c>
      <c r="H122" s="15" t="s">
        <v>1118</v>
      </c>
      <c r="I122" s="15" t="str">
        <f>"Poptávka TURTO - "&amp;A122&amp;" - "&amp;IF(F122=data!$E$1,E122&amp;" - ","")&amp;G122&amp;" - "&amp;DAY(B122)&amp;"."&amp;MONTH(B122)&amp;"."&amp;YEAR(B122)</f>
        <v>Poptávka TURTO - PohlCon - izolační nosníky - 1.7.2026</v>
      </c>
    </row>
    <row r="123" spans="1:9" s="14" customFormat="1" ht="30">
      <c r="A123" s="15" t="s">
        <v>1181</v>
      </c>
      <c r="B123" s="17">
        <v>46203</v>
      </c>
      <c r="C123" s="17">
        <v>46204</v>
      </c>
      <c r="D123" s="15" t="s">
        <v>97</v>
      </c>
      <c r="E123" s="15" t="s">
        <v>1249</v>
      </c>
      <c r="F123" s="15" t="s">
        <v>911</v>
      </c>
      <c r="G123" s="15" t="s">
        <v>959</v>
      </c>
      <c r="H123" s="15"/>
      <c r="I123" s="15" t="str">
        <f>"Poptávka TURTO - "&amp;A123&amp;" - "&amp;IF(F123=data!$E$1,E123&amp;" - ","")&amp;G123&amp;" - "&amp;DAY(B123)&amp;"."&amp;MONTH(B123)&amp;"."&amp;YEAR(B123)</f>
        <v>Poptávka TURTO - calenberg - City Blok Kleinerova - vibroizolace - 30.6.2026</v>
      </c>
    </row>
    <row r="124" spans="1:9" s="14" customFormat="1">
      <c r="A124" s="15" t="s">
        <v>885</v>
      </c>
      <c r="B124" s="17">
        <v>46203</v>
      </c>
      <c r="C124" s="17">
        <v>46204</v>
      </c>
      <c r="D124" s="15" t="s">
        <v>499</v>
      </c>
      <c r="E124" s="15" t="s">
        <v>1317</v>
      </c>
      <c r="F124" s="15" t="s">
        <v>911</v>
      </c>
      <c r="G124" s="15" t="s">
        <v>906</v>
      </c>
      <c r="H124" s="15"/>
      <c r="I124" s="15" t="str">
        <f>"Poptávka TURTO - "&amp;A124&amp;" - "&amp;IF(F124=data!$E$1,E124&amp;" - ","")&amp;G124&amp;" - "&amp;DAY(B124)&amp;"."&amp;MONTH(B124)&amp;"."&amp;YEAR(B124)</f>
        <v>Poptávka TURTO - Leviat - BD Na Primoně - izolační nosníky - 30.6.2026</v>
      </c>
    </row>
    <row r="125" spans="1:9" s="14" customFormat="1" ht="30">
      <c r="A125" s="15" t="s">
        <v>889</v>
      </c>
      <c r="B125" s="17">
        <v>46203</v>
      </c>
      <c r="C125" s="17">
        <v>46206</v>
      </c>
      <c r="D125" s="15" t="s">
        <v>812</v>
      </c>
      <c r="E125" s="15" t="s">
        <v>1336</v>
      </c>
      <c r="F125" s="15" t="s">
        <v>912</v>
      </c>
      <c r="G125" s="15" t="s">
        <v>907</v>
      </c>
      <c r="H125" s="15"/>
      <c r="I125" s="15" t="str">
        <f>"Poptávka TURTO - "&amp;A125&amp;" - "&amp;IF(F125=data!$E$1,E125&amp;" - ","")&amp;G125&amp;" - "&amp;DAY(B125)&amp;"."&amp;MONTH(B125)&amp;"."&amp;YEAR(B125)</f>
        <v>Poptávka TURTO - Peikko - smyková výztuž - 30.6.2026</v>
      </c>
    </row>
    <row r="126" spans="1:9" s="14" customFormat="1" ht="30">
      <c r="A126" s="15" t="s">
        <v>886</v>
      </c>
      <c r="B126" s="17">
        <v>46203</v>
      </c>
      <c r="C126" s="17">
        <v>46205</v>
      </c>
      <c r="D126" s="15" t="s">
        <v>812</v>
      </c>
      <c r="E126" s="15" t="s">
        <v>1336</v>
      </c>
      <c r="F126" s="15" t="s">
        <v>912</v>
      </c>
      <c r="G126" s="15" t="s">
        <v>907</v>
      </c>
      <c r="H126" s="15"/>
      <c r="I126" s="15" t="str">
        <f>"Poptávka TURTO - "&amp;A126&amp;" - "&amp;IF(F126=data!$E$1,E126&amp;" - ","")&amp;G126&amp;" - "&amp;DAY(B126)&amp;"."&amp;MONTH(B126)&amp;"."&amp;YEAR(B126)</f>
        <v>Poptávka TURTO - PohlCon - smyková výztuž - 30.6.2026</v>
      </c>
    </row>
    <row r="127" spans="1:9" s="14" customFormat="1">
      <c r="A127" s="15" t="s">
        <v>891</v>
      </c>
      <c r="B127" s="17">
        <v>46203</v>
      </c>
      <c r="C127" s="17">
        <v>46204</v>
      </c>
      <c r="D127" s="15" t="s">
        <v>578</v>
      </c>
      <c r="E127" s="15" t="s">
        <v>1179</v>
      </c>
      <c r="F127" s="15" t="s">
        <v>912</v>
      </c>
      <c r="G127" s="15" t="s">
        <v>913</v>
      </c>
      <c r="H127" s="15"/>
      <c r="I127" s="15" t="str">
        <f>"Poptávka TURTO - "&amp;A127&amp;" - "&amp;IF(F127=data!$E$1,E127&amp;" - ","")&amp;G127&amp;" - "&amp;DAY(B127)&amp;"."&amp;MONTH(B127)&amp;"."&amp;YEAR(B127)</f>
        <v>Poptávka TURTO - Nevoga - vylamovací výztuž - 30.6.2026</v>
      </c>
    </row>
    <row r="128" spans="1:9" s="14" customFormat="1">
      <c r="A128" s="15" t="s">
        <v>888</v>
      </c>
      <c r="B128" s="17">
        <v>46203</v>
      </c>
      <c r="C128" s="17">
        <v>46203</v>
      </c>
      <c r="D128" s="15" t="s">
        <v>821</v>
      </c>
      <c r="E128" s="15" t="s">
        <v>926</v>
      </c>
      <c r="F128" s="15" t="s">
        <v>912</v>
      </c>
      <c r="G128" s="15" t="s">
        <v>909</v>
      </c>
      <c r="H128" s="15"/>
      <c r="I128" s="15" t="str">
        <f>"Poptávka TURTO - "&amp;A128&amp;" - "&amp;IF(F128=data!$E$1,E128&amp;" - ","")&amp;G128&amp;" - "&amp;DAY(B128)&amp;"."&amp;MONTH(B128)&amp;"."&amp;YEAR(B128)</f>
        <v>Poptávka TURTO - GeroTop - prostupy - 30.6.2026</v>
      </c>
    </row>
    <row r="129" spans="1:9" s="14" customFormat="1" ht="30">
      <c r="A129" s="15" t="s">
        <v>889</v>
      </c>
      <c r="B129" s="17">
        <v>46202</v>
      </c>
      <c r="C129" s="17">
        <v>46205</v>
      </c>
      <c r="D129" s="15" t="s">
        <v>760</v>
      </c>
      <c r="E129" s="15" t="s">
        <v>1091</v>
      </c>
      <c r="F129" s="15" t="s">
        <v>911</v>
      </c>
      <c r="G129" s="15" t="s">
        <v>907</v>
      </c>
      <c r="H129" s="15"/>
      <c r="I129" s="15" t="str">
        <f>"Poptávka TURTO - "&amp;A129&amp;" - "&amp;IF(F129=data!$E$1,E129&amp;" - ","")&amp;G129&amp;" - "&amp;DAY(B129)&amp;"."&amp;MONTH(B129)&amp;"."&amp;YEAR(B129)</f>
        <v>Poptávka TURTO - Peikko - Víceúčelová budova Úvalská - smyková výztuž - 29.6.2026</v>
      </c>
    </row>
    <row r="130" spans="1:9" s="14" customFormat="1">
      <c r="A130" s="15" t="s">
        <v>885</v>
      </c>
      <c r="B130" s="17">
        <v>46202</v>
      </c>
      <c r="C130" s="17">
        <v>46202</v>
      </c>
      <c r="D130" s="15" t="s">
        <v>747</v>
      </c>
      <c r="E130" s="15" t="s">
        <v>1030</v>
      </c>
      <c r="F130" s="15" t="s">
        <v>911</v>
      </c>
      <c r="G130" s="15" t="s">
        <v>906</v>
      </c>
      <c r="H130" s="15"/>
      <c r="I130" s="15" t="str">
        <f>"Poptávka TURTO - "&amp;A130&amp;" - "&amp;IF(F130=data!$E$1,E130&amp;" - ","")&amp;G130&amp;" - "&amp;DAY(B130)&amp;"."&amp;MONTH(B130)&amp;"."&amp;YEAR(B130)</f>
        <v>Poptávka TURTO - Leviat - Vinohradská - izolační nosníky - 29.6.2026</v>
      </c>
    </row>
    <row r="131" spans="1:9" s="14" customFormat="1" ht="30">
      <c r="A131" s="15" t="s">
        <v>885</v>
      </c>
      <c r="B131" s="17">
        <v>46202</v>
      </c>
      <c r="C131" s="17">
        <v>46202</v>
      </c>
      <c r="D131" s="15" t="s">
        <v>141</v>
      </c>
      <c r="E131" s="15" t="s">
        <v>1335</v>
      </c>
      <c r="F131" s="15" t="s">
        <v>911</v>
      </c>
      <c r="G131" s="15" t="s">
        <v>906</v>
      </c>
      <c r="H131" s="15"/>
      <c r="I131" s="15" t="str">
        <f>"Poptávka TURTO - "&amp;A131&amp;" - "&amp;IF(F131=data!$E$1,E131&amp;" - ","")&amp;G131&amp;" - "&amp;DAY(B131)&amp;"."&amp;MONTH(B131)&amp;"."&amp;YEAR(B131)</f>
        <v>Poptávka TURTO - Leviat - Dolní stanice Hromovka 2 - izolační nosníky - 29.6.2026</v>
      </c>
    </row>
    <row r="132" spans="1:9" s="14" customFormat="1">
      <c r="A132" s="15" t="s">
        <v>885</v>
      </c>
      <c r="B132" s="17">
        <v>46202</v>
      </c>
      <c r="C132" s="17">
        <v>46217</v>
      </c>
      <c r="D132" s="15" t="s">
        <v>71</v>
      </c>
      <c r="E132" s="15" t="s">
        <v>1255</v>
      </c>
      <c r="F132" s="15" t="s">
        <v>911</v>
      </c>
      <c r="G132" s="15" t="s">
        <v>906</v>
      </c>
      <c r="H132" s="15"/>
      <c r="I132" s="15" t="str">
        <f>"Poptávka TURTO - "&amp;A132&amp;" - "&amp;IF(F132=data!$E$1,E132&amp;" - ","")&amp;G132&amp;" - "&amp;DAY(B132)&amp;"."&amp;MONTH(B132)&amp;"."&amp;YEAR(B132)</f>
        <v>Poptávka TURTO - Leviat - BIDFOOD Kralupy - izolační nosníky - 29.6.2026</v>
      </c>
    </row>
    <row r="133" spans="1:9" s="14" customFormat="1" ht="30">
      <c r="A133" s="15" t="s">
        <v>886</v>
      </c>
      <c r="B133" s="17">
        <v>46192</v>
      </c>
      <c r="C133" s="17">
        <v>46192</v>
      </c>
      <c r="D133" s="15" t="s">
        <v>97</v>
      </c>
      <c r="E133" s="15" t="s">
        <v>1227</v>
      </c>
      <c r="F133" s="15" t="s">
        <v>912</v>
      </c>
      <c r="G133" s="15" t="s">
        <v>907</v>
      </c>
      <c r="H133" s="15"/>
      <c r="I133" s="15" t="str">
        <f>"Poptávka TURTO - "&amp;A133&amp;" - "&amp;IF(F133=data!$E$1,E133&amp;" - ","")&amp;G133&amp;" - "&amp;DAY(B133)&amp;"."&amp;MONTH(B133)&amp;"."&amp;YEAR(B133)</f>
        <v>Poptávka TURTO - PohlCon - smyková výztuž - 19.6.2026</v>
      </c>
    </row>
    <row r="134" spans="1:9" s="14" customFormat="1" ht="30">
      <c r="A134" s="15" t="s">
        <v>889</v>
      </c>
      <c r="B134" s="17">
        <v>46192</v>
      </c>
      <c r="C134" s="17">
        <v>46192</v>
      </c>
      <c r="D134" s="15" t="s">
        <v>97</v>
      </c>
      <c r="E134" s="15" t="s">
        <v>1227</v>
      </c>
      <c r="F134" s="15" t="s">
        <v>912</v>
      </c>
      <c r="G134" s="15" t="s">
        <v>907</v>
      </c>
      <c r="H134" s="15"/>
      <c r="I134" s="15" t="str">
        <f>"Poptávka TURTO - "&amp;A134&amp;" - "&amp;IF(F134=data!$E$1,E134&amp;" - ","")&amp;G134&amp;" - "&amp;DAY(B134)&amp;"."&amp;MONTH(B134)&amp;"."&amp;YEAR(B134)</f>
        <v>Poptávka TURTO - Peikko - smyková výztuž - 19.6.2026</v>
      </c>
    </row>
    <row r="135" spans="1:9" s="14" customFormat="1">
      <c r="A135" s="15" t="s">
        <v>885</v>
      </c>
      <c r="B135" s="17">
        <v>46191</v>
      </c>
      <c r="C135" s="17">
        <v>46192</v>
      </c>
      <c r="D135" s="15" t="s">
        <v>301</v>
      </c>
      <c r="E135" s="15" t="s">
        <v>1198</v>
      </c>
      <c r="F135" s="15" t="s">
        <v>911</v>
      </c>
      <c r="G135" s="15" t="s">
        <v>906</v>
      </c>
      <c r="H135" s="15"/>
      <c r="I135" s="15" t="str">
        <f>"Poptávka TURTO - "&amp;A135&amp;" - "&amp;IF(F135=data!$E$1,E135&amp;" - ","")&amp;G135&amp;" - "&amp;DAY(B135)&amp;"."&amp;MONTH(B135)&amp;"."&amp;YEAR(B135)</f>
        <v>Poptávka TURTO - Leviat - Petynka - izolační nosníky - 18.6.2026</v>
      </c>
    </row>
    <row r="136" spans="1:9" s="14" customFormat="1" ht="30">
      <c r="A136" s="15" t="s">
        <v>888</v>
      </c>
      <c r="B136" s="17">
        <v>46191</v>
      </c>
      <c r="C136" s="17">
        <v>46192</v>
      </c>
      <c r="D136" s="15" t="s">
        <v>475</v>
      </c>
      <c r="E136" s="15" t="s">
        <v>1323</v>
      </c>
      <c r="F136" s="15" t="s">
        <v>912</v>
      </c>
      <c r="G136" s="15" t="s">
        <v>909</v>
      </c>
      <c r="H136" s="15"/>
      <c r="I136" s="15" t="str">
        <f>"Poptávka TURTO - "&amp;A136&amp;" - "&amp;IF(F136=data!$E$1,E136&amp;" - ","")&amp;G136&amp;" - "&amp;DAY(B136)&amp;"."&amp;MONTH(B136)&amp;"."&amp;YEAR(B136)</f>
        <v>Poptávka TURTO - GeroTop - prostupy - 18.6.2026</v>
      </c>
    </row>
    <row r="137" spans="1:9" s="14" customFormat="1">
      <c r="A137" s="15" t="s">
        <v>889</v>
      </c>
      <c r="B137" s="17">
        <v>46190</v>
      </c>
      <c r="C137" s="17">
        <v>46191</v>
      </c>
      <c r="D137" s="15" t="s">
        <v>400</v>
      </c>
      <c r="E137" s="15" t="s">
        <v>1322</v>
      </c>
      <c r="F137" s="15" t="s">
        <v>912</v>
      </c>
      <c r="G137" s="15" t="s">
        <v>1126</v>
      </c>
      <c r="H137" s="15"/>
      <c r="I137" s="15" t="str">
        <f>"Poptávka TURTO - "&amp;A137&amp;" - "&amp;IF(F137=data!$E$1,E137&amp;" - ","")&amp;G137&amp;" - "&amp;DAY(B137)&amp;"."&amp;MONTH(B137)&amp;"."&amp;YEAR(B137)</f>
        <v>Poptávka TURTO - Peikko - spojky výztuže - 17.6.2026</v>
      </c>
    </row>
    <row r="138" spans="1:9" s="14" customFormat="1">
      <c r="A138" s="15" t="s">
        <v>885</v>
      </c>
      <c r="B138" s="17">
        <v>46190</v>
      </c>
      <c r="C138" s="17">
        <v>46192</v>
      </c>
      <c r="D138" s="15" t="s">
        <v>400</v>
      </c>
      <c r="E138" s="15" t="s">
        <v>1322</v>
      </c>
      <c r="F138" s="15" t="s">
        <v>911</v>
      </c>
      <c r="G138" s="15" t="s">
        <v>1126</v>
      </c>
      <c r="H138" s="15"/>
      <c r="I138" s="15" t="str">
        <f>"Poptávka TURTO - "&amp;A138&amp;" - "&amp;IF(F138=data!$E$1,E138&amp;" - ","")&amp;G138&amp;" - "&amp;DAY(B138)&amp;"."&amp;MONTH(B138)&amp;"."&amp;YEAR(B138)</f>
        <v>Poptávka TURTO - Leviat - Trafostanice Bratislavská - spojky výztuže - 17.6.2026</v>
      </c>
    </row>
    <row r="139" spans="1:9" s="14" customFormat="1">
      <c r="A139" s="15" t="s">
        <v>1320</v>
      </c>
      <c r="B139" s="17">
        <v>46190</v>
      </c>
      <c r="C139" s="17">
        <v>46191</v>
      </c>
      <c r="D139" s="15" t="s">
        <v>747</v>
      </c>
      <c r="E139" s="15" t="s">
        <v>1262</v>
      </c>
      <c r="F139" s="15" t="s">
        <v>912</v>
      </c>
      <c r="G139" s="15" t="s">
        <v>1321</v>
      </c>
      <c r="H139" s="15"/>
      <c r="I139" s="15" t="str">
        <f>"Poptávka TURTO - "&amp;A139&amp;" - "&amp;IF(F139=data!$E$1,E139&amp;" - ","")&amp;G139&amp;" - "&amp;DAY(B139)&amp;"."&amp;MONTH(B139)&amp;"."&amp;YEAR(B139)</f>
        <v>Poptávka TURTO - Isolet - Safety Bloc - 17.6.2026</v>
      </c>
    </row>
    <row r="140" spans="1:9" s="14" customFormat="1">
      <c r="A140" s="15" t="s">
        <v>985</v>
      </c>
      <c r="B140" s="17">
        <v>46190</v>
      </c>
      <c r="C140" s="17">
        <v>46195</v>
      </c>
      <c r="D140" s="15" t="s">
        <v>152</v>
      </c>
      <c r="E140" s="15" t="s">
        <v>897</v>
      </c>
      <c r="F140" s="15" t="s">
        <v>912</v>
      </c>
      <c r="G140" s="15" t="s">
        <v>1142</v>
      </c>
      <c r="H140" s="15"/>
      <c r="I140" s="15" t="str">
        <f>"Poptávka TURTO - "&amp;A140&amp;" - "&amp;IF(F140=data!$E$1,E140&amp;" - ","")&amp;G140&amp;" - "&amp;DAY(B140)&amp;"."&amp;MONTH(B140)&amp;"."&amp;YEAR(B140)</f>
        <v>Poptávka TURTO - EXPAN - MIGUTAN - 17.6.2026</v>
      </c>
    </row>
    <row r="141" spans="1:9" s="14" customFormat="1" ht="30">
      <c r="A141" s="15" t="s">
        <v>885</v>
      </c>
      <c r="B141" s="17">
        <v>46190</v>
      </c>
      <c r="C141" s="17">
        <v>46191</v>
      </c>
      <c r="D141" s="15" t="s">
        <v>572</v>
      </c>
      <c r="E141" s="15" t="s">
        <v>1318</v>
      </c>
      <c r="F141" s="15" t="s">
        <v>911</v>
      </c>
      <c r="G141" s="15" t="s">
        <v>906</v>
      </c>
      <c r="H141" s="15"/>
      <c r="I141" s="15" t="str">
        <f>"Poptávka TURTO - "&amp;A141&amp;" - "&amp;IF(F141=data!$E$1,E141&amp;" - ","")&amp;G141&amp;" - "&amp;DAY(B141)&amp;"."&amp;MONTH(B141)&amp;"."&amp;YEAR(B141)</f>
        <v>Poptávka TURTO - Leviat - OS Nad Čimickým Údolím - izolační nosníky - 17.6.2026</v>
      </c>
    </row>
    <row r="142" spans="1:9" s="14" customFormat="1">
      <c r="A142" s="15" t="s">
        <v>885</v>
      </c>
      <c r="B142" s="17">
        <v>46190</v>
      </c>
      <c r="C142" s="17">
        <v>46191</v>
      </c>
      <c r="D142" s="15" t="s">
        <v>130</v>
      </c>
      <c r="E142" s="15" t="s">
        <v>1315</v>
      </c>
      <c r="F142" s="15" t="s">
        <v>911</v>
      </c>
      <c r="G142" s="15" t="s">
        <v>906</v>
      </c>
      <c r="H142" s="15"/>
      <c r="I142" s="15" t="str">
        <f>"Poptávka TURTO - "&amp;A142&amp;" - "&amp;IF(F142=data!$E$1,E142&amp;" - ","")&amp;G142&amp;" - "&amp;DAY(B142)&amp;"."&amp;MONTH(B142)&amp;"."&amp;YEAR(B142)</f>
        <v>Poptávka TURTO - Leviat - BD Křimice - izolační nosníky - 17.6.2026</v>
      </c>
    </row>
    <row r="143" spans="1:9" s="14" customFormat="1">
      <c r="A143" s="15" t="s">
        <v>891</v>
      </c>
      <c r="B143" s="17">
        <v>46190</v>
      </c>
      <c r="C143" s="17">
        <v>46191</v>
      </c>
      <c r="D143" s="15" t="s">
        <v>105</v>
      </c>
      <c r="E143" s="15" t="s">
        <v>1206</v>
      </c>
      <c r="F143" s="15" t="s">
        <v>912</v>
      </c>
      <c r="G143" s="15" t="s">
        <v>913</v>
      </c>
      <c r="H143" s="15"/>
      <c r="I143" s="15" t="str">
        <f>"Poptávka TURTO - "&amp;A143&amp;" - "&amp;IF(F143=data!$E$1,E143&amp;" - ","")&amp;G143&amp;" - "&amp;DAY(B143)&amp;"."&amp;MONTH(B143)&amp;"."&amp;YEAR(B143)</f>
        <v>Poptávka TURTO - Nevoga - vylamovací výztuž - 17.6.2026</v>
      </c>
    </row>
    <row r="144" spans="1:9" s="14" customFormat="1">
      <c r="A144" s="15" t="s">
        <v>888</v>
      </c>
      <c r="B144" s="17">
        <v>46190</v>
      </c>
      <c r="C144" s="17">
        <v>46191</v>
      </c>
      <c r="D144" s="15" t="s">
        <v>747</v>
      </c>
      <c r="E144" s="15" t="s">
        <v>1262</v>
      </c>
      <c r="F144" s="15" t="s">
        <v>911</v>
      </c>
      <c r="G144" s="15" t="s">
        <v>909</v>
      </c>
      <c r="H144" s="15"/>
      <c r="I144" s="15" t="str">
        <f>"Poptávka TURTO - "&amp;A144&amp;" - "&amp;IF(F144=data!$E$1,E144&amp;" - ","")&amp;G144&amp;" - "&amp;DAY(B144)&amp;"."&amp;MONTH(B144)&amp;"."&amp;YEAR(B144)</f>
        <v>Poptávka TURTO - GeroTop - Rohan-Karlín - prostupy - 17.6.2026</v>
      </c>
    </row>
    <row r="145" spans="1:9" s="14" customFormat="1" ht="30">
      <c r="A145" s="15" t="s">
        <v>885</v>
      </c>
      <c r="B145" s="17">
        <v>46189</v>
      </c>
      <c r="C145" s="17">
        <v>46190</v>
      </c>
      <c r="D145" s="15" t="s">
        <v>452</v>
      </c>
      <c r="E145" s="15" t="s">
        <v>1265</v>
      </c>
      <c r="F145" s="15" t="s">
        <v>911</v>
      </c>
      <c r="G145" s="15" t="s">
        <v>906</v>
      </c>
      <c r="H145" s="15"/>
      <c r="I145" s="15" t="str">
        <f>"Poptávka TURTO - "&amp;A145&amp;" - "&amp;IF(F145=data!$E$1,E145&amp;" - ","")&amp;G145&amp;" - "&amp;DAY(B145)&amp;"."&amp;MONTH(B145)&amp;"."&amp;YEAR(B145)</f>
        <v>Poptávka TURTO - Leviat - Škola Da Vinci - izolační nosníky - 16.6.2026</v>
      </c>
    </row>
    <row r="146" spans="1:9" s="14" customFormat="1" ht="30">
      <c r="A146" s="15" t="s">
        <v>888</v>
      </c>
      <c r="B146" s="17">
        <v>46188</v>
      </c>
      <c r="C146" s="17">
        <v>46189</v>
      </c>
      <c r="D146" s="15" t="s">
        <v>475</v>
      </c>
      <c r="E146" s="15" t="s">
        <v>1311</v>
      </c>
      <c r="F146" s="15" t="s">
        <v>912</v>
      </c>
      <c r="G146" s="15" t="s">
        <v>909</v>
      </c>
      <c r="H146" s="15"/>
      <c r="I146" s="15" t="str">
        <f>"Poptávka TURTO - "&amp;A146&amp;" - "&amp;IF(F146=data!$E$1,E146&amp;" - ","")&amp;G146&amp;" - "&amp;DAY(B146)&amp;"."&amp;MONTH(B146)&amp;"."&amp;YEAR(B146)</f>
        <v>Poptávka TURTO - GeroTop - prostupy - 15.6.2026</v>
      </c>
    </row>
    <row r="147" spans="1:9" s="14" customFormat="1">
      <c r="A147" s="15" t="s">
        <v>885</v>
      </c>
      <c r="B147" s="17">
        <v>46188</v>
      </c>
      <c r="C147" s="17">
        <v>46189</v>
      </c>
      <c r="D147" s="15" t="s">
        <v>130</v>
      </c>
      <c r="E147" s="15" t="s">
        <v>1178</v>
      </c>
      <c r="F147" s="15" t="s">
        <v>911</v>
      </c>
      <c r="G147" s="15" t="s">
        <v>906</v>
      </c>
      <c r="H147" s="15"/>
      <c r="I147" s="15" t="str">
        <f>"Poptávka TURTO - "&amp;A147&amp;" - "&amp;IF(F147=data!$E$1,E147&amp;" - ","")&amp;G147&amp;" - "&amp;DAY(B147)&amp;"."&amp;MONTH(B147)&amp;"."&amp;YEAR(B147)</f>
        <v>Poptávka TURTO - Leviat - Pitkovický Dvůr - izolační nosníky - 15.6.2026</v>
      </c>
    </row>
    <row r="148" spans="1:9" s="14" customFormat="1">
      <c r="A148" s="15" t="s">
        <v>885</v>
      </c>
      <c r="B148" s="17">
        <v>46188</v>
      </c>
      <c r="C148" s="17">
        <v>46188</v>
      </c>
      <c r="D148" s="15" t="s">
        <v>499</v>
      </c>
      <c r="E148" s="15" t="s">
        <v>1309</v>
      </c>
      <c r="F148" s="15" t="s">
        <v>911</v>
      </c>
      <c r="G148" s="15" t="s">
        <v>906</v>
      </c>
      <c r="H148" s="15"/>
      <c r="I148" s="15" t="str">
        <f>"Poptávka TURTO - "&amp;A148&amp;" - "&amp;IF(F148=data!$E$1,E148&amp;" - ","")&amp;G148&amp;" - "&amp;DAY(B148)&amp;"."&amp;MONTH(B148)&amp;"."&amp;YEAR(B148)</f>
        <v>Poptávka TURTO - Leviat - Vila Osnice - izolační nosníky - 15.6.2026</v>
      </c>
    </row>
    <row r="149" spans="1:9" s="14" customFormat="1">
      <c r="A149" s="15" t="s">
        <v>889</v>
      </c>
      <c r="B149" s="17">
        <v>46188</v>
      </c>
      <c r="C149" s="17">
        <v>46188</v>
      </c>
      <c r="D149" s="15" t="s">
        <v>499</v>
      </c>
      <c r="E149" s="15" t="s">
        <v>1309</v>
      </c>
      <c r="F149" s="15" t="s">
        <v>912</v>
      </c>
      <c r="G149" s="15" t="s">
        <v>907</v>
      </c>
      <c r="H149" s="15"/>
      <c r="I149" s="15" t="str">
        <f>"Poptávka TURTO - "&amp;A149&amp;" - "&amp;IF(F149=data!$E$1,E149&amp;" - ","")&amp;G149&amp;" - "&amp;DAY(B149)&amp;"."&amp;MONTH(B149)&amp;"."&amp;YEAR(B149)</f>
        <v>Poptávka TURTO - Peikko - smyková výztuž - 15.6.2026</v>
      </c>
    </row>
    <row r="150" spans="1:9" s="14" customFormat="1">
      <c r="A150" s="15" t="s">
        <v>886</v>
      </c>
      <c r="B150" s="17">
        <v>46188</v>
      </c>
      <c r="C150" s="17">
        <v>46190</v>
      </c>
      <c r="D150" s="15" t="s">
        <v>499</v>
      </c>
      <c r="E150" s="15" t="s">
        <v>1309</v>
      </c>
      <c r="F150" s="15" t="s">
        <v>912</v>
      </c>
      <c r="G150" s="15" t="s">
        <v>907</v>
      </c>
      <c r="H150" s="15"/>
      <c r="I150" s="15" t="str">
        <f>"Poptávka TURTO - "&amp;A150&amp;" - "&amp;IF(F150=data!$E$1,E150&amp;" - ","")&amp;G150&amp;" - "&amp;DAY(B150)&amp;"."&amp;MONTH(B150)&amp;"."&amp;YEAR(B150)</f>
        <v>Poptávka TURTO - PohlCon - smyková výztuž - 15.6.2026</v>
      </c>
    </row>
    <row r="151" spans="1:9" s="14" customFormat="1">
      <c r="A151" s="15" t="s">
        <v>885</v>
      </c>
      <c r="B151" s="17">
        <v>46185</v>
      </c>
      <c r="C151" s="17">
        <v>46188</v>
      </c>
      <c r="D151" s="15" t="s">
        <v>1305</v>
      </c>
      <c r="E151" s="15" t="s">
        <v>1304</v>
      </c>
      <c r="F151" s="15" t="s">
        <v>911</v>
      </c>
      <c r="G151" s="15" t="s">
        <v>906</v>
      </c>
      <c r="H151" s="15"/>
      <c r="I151" s="15" t="str">
        <f>"Poptávka TURTO - "&amp;A151&amp;" - "&amp;IF(F151=data!$E$1,E151&amp;" - ","")&amp;G151&amp;" - "&amp;DAY(B151)&amp;"."&amp;MONTH(B151)&amp;"."&amp;YEAR(B151)</f>
        <v>Poptávka TURTO - Leviat - Ecocity Malešice - izolační nosníky - 12.6.2026</v>
      </c>
    </row>
    <row r="152" spans="1:9" s="14" customFormat="1">
      <c r="A152" s="15" t="s">
        <v>888</v>
      </c>
      <c r="B152" s="17">
        <v>46185</v>
      </c>
      <c r="C152" s="17">
        <v>46188</v>
      </c>
      <c r="D152" s="15" t="s">
        <v>1305</v>
      </c>
      <c r="E152" s="15" t="s">
        <v>1304</v>
      </c>
      <c r="F152" s="15" t="s">
        <v>911</v>
      </c>
      <c r="G152" s="15" t="s">
        <v>909</v>
      </c>
      <c r="H152" s="15"/>
      <c r="I152" s="15" t="str">
        <f>"Poptávka TURTO - "&amp;A152&amp;" - "&amp;IF(F152=data!$E$1,E152&amp;" - ","")&amp;G152&amp;" - "&amp;DAY(B152)&amp;"."&amp;MONTH(B152)&amp;"."&amp;YEAR(B152)</f>
        <v>Poptávka TURTO - GeroTop - Ecocity Malešice - prostupy - 12.6.2026</v>
      </c>
    </row>
    <row r="153" spans="1:9" s="14" customFormat="1">
      <c r="A153" s="15" t="s">
        <v>888</v>
      </c>
      <c r="B153" s="17">
        <v>46185</v>
      </c>
      <c r="C153" s="17">
        <v>46185</v>
      </c>
      <c r="D153" s="15" t="s">
        <v>1305</v>
      </c>
      <c r="E153" s="15" t="s">
        <v>1306</v>
      </c>
      <c r="F153" s="15" t="s">
        <v>911</v>
      </c>
      <c r="G153" s="15" t="s">
        <v>909</v>
      </c>
      <c r="H153" s="15"/>
      <c r="I153" s="15" t="str">
        <f>"Poptávka TURTO - "&amp;A153&amp;" - "&amp;IF(F153=data!$E$1,E153&amp;" - ","")&amp;G153&amp;" - "&amp;DAY(B153)&amp;"."&amp;MONTH(B153)&amp;"."&amp;YEAR(B153)</f>
        <v>Poptávka TURTO - GeroTop - BD Výhledová - prostupy - 12.6.2026</v>
      </c>
    </row>
    <row r="154" spans="1:9" s="14" customFormat="1" ht="30">
      <c r="A154" s="15" t="s">
        <v>885</v>
      </c>
      <c r="B154" s="17">
        <v>46185</v>
      </c>
      <c r="C154" s="17">
        <v>46185</v>
      </c>
      <c r="D154" s="15" t="s">
        <v>584</v>
      </c>
      <c r="E154" s="15" t="s">
        <v>1129</v>
      </c>
      <c r="F154" s="15" t="s">
        <v>911</v>
      </c>
      <c r="G154" s="15" t="s">
        <v>906</v>
      </c>
      <c r="H154" s="15"/>
      <c r="I154" s="15" t="str">
        <f>"Poptávka TURTO - "&amp;A154&amp;" - "&amp;IF(F154=data!$E$1,E154&amp;" - ","")&amp;G154&amp;" - "&amp;DAY(B154)&amp;"."&amp;MONTH(B154)&amp;"."&amp;YEAR(B154)</f>
        <v>Poptávka TURTO - Leviat - BD Soběslav - izolační nosníky - 12.6.2026</v>
      </c>
    </row>
    <row r="155" spans="1:9" s="14" customFormat="1">
      <c r="A155" s="15" t="s">
        <v>885</v>
      </c>
      <c r="B155" s="17">
        <v>46184</v>
      </c>
      <c r="C155" s="17">
        <v>46185</v>
      </c>
      <c r="D155" s="15" t="s">
        <v>131</v>
      </c>
      <c r="E155" s="15" t="s">
        <v>1239</v>
      </c>
      <c r="F155" s="15" t="s">
        <v>911</v>
      </c>
      <c r="G155" s="15" t="s">
        <v>906</v>
      </c>
      <c r="H155" s="15"/>
      <c r="I155" s="15" t="str">
        <f>"Poptávka TURTO - "&amp;A155&amp;" - "&amp;IF(F155=data!$E$1,E155&amp;" - ","")&amp;G155&amp;" - "&amp;DAY(B155)&amp;"."&amp;MONTH(B155)&amp;"."&amp;YEAR(B155)</f>
        <v>Poptávka TURTO - Leviat - BD Kolovraty - izolační nosníky - 11.6.2026</v>
      </c>
    </row>
    <row r="156" spans="1:9" s="14" customFormat="1">
      <c r="A156" s="15" t="s">
        <v>885</v>
      </c>
      <c r="B156" s="17">
        <v>46184</v>
      </c>
      <c r="C156" s="17">
        <v>46185</v>
      </c>
      <c r="D156" s="15" t="s">
        <v>269</v>
      </c>
      <c r="E156" s="15" t="s">
        <v>15</v>
      </c>
      <c r="F156" s="15" t="s">
        <v>912</v>
      </c>
      <c r="G156" s="15" t="s">
        <v>1303</v>
      </c>
      <c r="H156" s="15"/>
      <c r="I156" s="15" t="str">
        <f>"Poptávka TURTO - "&amp;A156&amp;" - "&amp;IF(F156=data!$E$1,E156&amp;" - ","")&amp;G156&amp;" - "&amp;DAY(B156)&amp;"."&amp;MONTH(B156)&amp;"."&amp;YEAR(B156)</f>
        <v>Poptávka TURTO - Leviat - Lift-box - 11.6.2026</v>
      </c>
    </row>
    <row r="157" spans="1:9" s="14" customFormat="1">
      <c r="A157" s="15" t="s">
        <v>885</v>
      </c>
      <c r="B157" s="17">
        <v>46184</v>
      </c>
      <c r="C157" s="17">
        <v>46184</v>
      </c>
      <c r="D157" s="15" t="s">
        <v>623</v>
      </c>
      <c r="E157" s="15" t="s">
        <v>926</v>
      </c>
      <c r="F157" s="15" t="s">
        <v>912</v>
      </c>
      <c r="G157" s="15" t="s">
        <v>64</v>
      </c>
      <c r="H157" s="15"/>
      <c r="I157" s="15" t="str">
        <f>"Poptávka TURTO - "&amp;A157&amp;" - "&amp;IF(F157=data!$E$1,E157&amp;" - ","")&amp;G157&amp;" - "&amp;DAY(B157)&amp;"."&amp;MONTH(B157)&amp;"."&amp;YEAR(B157)</f>
        <v>Poptávka TURTO - Leviat - smykové trny - 11.6.2026</v>
      </c>
    </row>
    <row r="158" spans="1:9" s="14" customFormat="1">
      <c r="A158" s="15" t="s">
        <v>885</v>
      </c>
      <c r="B158" s="17">
        <v>46184</v>
      </c>
      <c r="C158" s="17">
        <v>46184</v>
      </c>
      <c r="D158" s="15" t="s">
        <v>131</v>
      </c>
      <c r="E158" s="15" t="s">
        <v>1300</v>
      </c>
      <c r="F158" s="15" t="s">
        <v>911</v>
      </c>
      <c r="G158" s="15" t="s">
        <v>906</v>
      </c>
      <c r="H158" s="15"/>
      <c r="I158" s="15" t="str">
        <f>"Poptávka TURTO - "&amp;A158&amp;" - "&amp;IF(F158=data!$E$1,E158&amp;" - ","")&amp;G158&amp;" - "&amp;DAY(B158)&amp;"."&amp;MONTH(B158)&amp;"."&amp;YEAR(B158)</f>
        <v>Poptávka TURTO - Leviat - RD Zbuzany - izolační nosníky - 11.6.2026</v>
      </c>
    </row>
    <row r="159" spans="1:9" s="14" customFormat="1">
      <c r="A159" s="15" t="s">
        <v>891</v>
      </c>
      <c r="B159" s="17">
        <v>46184</v>
      </c>
      <c r="C159" s="17">
        <v>46184</v>
      </c>
      <c r="D159" s="15" t="s">
        <v>577</v>
      </c>
      <c r="E159" s="15" t="s">
        <v>6</v>
      </c>
      <c r="F159" s="15" t="s">
        <v>912</v>
      </c>
      <c r="G159" s="15" t="s">
        <v>913</v>
      </c>
      <c r="H159" s="15"/>
      <c r="I159" s="15" t="str">
        <f>"Poptávka TURTO - "&amp;A159&amp;" - "&amp;IF(F159=data!$E$1,E159&amp;" - ","")&amp;G159&amp;" - "&amp;DAY(B159)&amp;"."&amp;MONTH(B159)&amp;"."&amp;YEAR(B159)</f>
        <v>Poptávka TURTO - Nevoga - vylamovací výztuž - 11.6.2026</v>
      </c>
    </row>
    <row r="160" spans="1:9" s="14" customFormat="1">
      <c r="A160" s="15" t="s">
        <v>888</v>
      </c>
      <c r="B160" s="17">
        <v>46183</v>
      </c>
      <c r="C160" s="17">
        <v>46185</v>
      </c>
      <c r="D160" s="15" t="s">
        <v>673</v>
      </c>
      <c r="E160" s="15" t="s">
        <v>1297</v>
      </c>
      <c r="F160" s="15" t="s">
        <v>911</v>
      </c>
      <c r="G160" s="15" t="s">
        <v>909</v>
      </c>
      <c r="H160" s="15"/>
      <c r="I160" s="15" t="str">
        <f>"Poptávka TURTO - "&amp;A160&amp;" - "&amp;IF(F160=data!$E$1,E160&amp;" - ","")&amp;G160&amp;" - "&amp;DAY(B160)&amp;"."&amp;MONTH(B160)&amp;"."&amp;YEAR(B160)</f>
        <v>Poptávka TURTO - GeroTop - Orlík-Panstvíčko - prostupy - 10.6.2026</v>
      </c>
    </row>
    <row r="161" spans="1:9" s="14" customFormat="1">
      <c r="A161" s="15" t="s">
        <v>891</v>
      </c>
      <c r="B161" s="17">
        <v>46183</v>
      </c>
      <c r="C161" s="17">
        <v>46183</v>
      </c>
      <c r="D161" s="15" t="s">
        <v>578</v>
      </c>
      <c r="E161" s="15" t="s">
        <v>28</v>
      </c>
      <c r="F161" s="15" t="s">
        <v>912</v>
      </c>
      <c r="G161" s="15" t="s">
        <v>913</v>
      </c>
      <c r="H161" s="15"/>
      <c r="I161" s="15" t="str">
        <f>"Poptávka TURTO - "&amp;A161&amp;" - "&amp;IF(F161=data!$E$1,E161&amp;" - ","")&amp;G161&amp;" - "&amp;DAY(B161)&amp;"."&amp;MONTH(B161)&amp;"."&amp;YEAR(B161)</f>
        <v>Poptávka TURTO - Nevoga - vylamovací výztuž - 10.6.2026</v>
      </c>
    </row>
    <row r="162" spans="1:9" s="14" customFormat="1">
      <c r="A162" s="15" t="s">
        <v>885</v>
      </c>
      <c r="B162" s="17">
        <v>46183</v>
      </c>
      <c r="C162" s="17">
        <v>46183</v>
      </c>
      <c r="D162" s="15" t="s">
        <v>760</v>
      </c>
      <c r="E162" s="15" t="s">
        <v>65</v>
      </c>
      <c r="F162" s="15" t="s">
        <v>912</v>
      </c>
      <c r="G162" s="15" t="s">
        <v>64</v>
      </c>
      <c r="H162" s="15"/>
      <c r="I162" s="15" t="str">
        <f>"Poptávka TURTO - "&amp;A162&amp;" - "&amp;IF(F162=data!$E$1,E162&amp;" - ","")&amp;G162&amp;" - "&amp;DAY(B162)&amp;"."&amp;MONTH(B162)&amp;"."&amp;YEAR(B162)</f>
        <v>Poptávka TURTO - Leviat - smykové trny - 10.6.2026</v>
      </c>
    </row>
    <row r="163" spans="1:9" s="14" customFormat="1">
      <c r="A163" s="15" t="s">
        <v>1166</v>
      </c>
      <c r="B163" s="17">
        <v>46181</v>
      </c>
      <c r="C163" s="17">
        <v>46183</v>
      </c>
      <c r="D163" s="15" t="s">
        <v>1292</v>
      </c>
      <c r="E163" s="15" t="s">
        <v>1174</v>
      </c>
      <c r="F163" s="15" t="s">
        <v>912</v>
      </c>
      <c r="G163" s="15" t="s">
        <v>1294</v>
      </c>
      <c r="H163" s="15" t="s">
        <v>1299</v>
      </c>
      <c r="I163" s="15" t="str">
        <f>"Poptávka TURTO - "&amp;A163&amp;" - "&amp;IF(F163=data!$E$1,E163&amp;" - ","")&amp;G163&amp;" - "&amp;DAY(B163)&amp;"."&amp;MONTH(B163)&amp;"."&amp;YEAR(B163)</f>
        <v>Poptávka TURTO - SIKA - nátěr - 8.6.2026</v>
      </c>
    </row>
    <row r="164" spans="1:9" s="14" customFormat="1" ht="30">
      <c r="A164" s="15" t="s">
        <v>885</v>
      </c>
      <c r="B164" s="17">
        <v>46181</v>
      </c>
      <c r="C164" s="17">
        <v>46181</v>
      </c>
      <c r="D164" s="15" t="s">
        <v>584</v>
      </c>
      <c r="E164" s="15" t="s">
        <v>1290</v>
      </c>
      <c r="F164" s="15" t="s">
        <v>911</v>
      </c>
      <c r="G164" s="15" t="s">
        <v>906</v>
      </c>
      <c r="H164" s="15"/>
      <c r="I164" s="15" t="str">
        <f>"Poptávka TURTO - "&amp;A164&amp;" - "&amp;IF(F164=data!$E$1,E164&amp;" - ","")&amp;G164&amp;" - "&amp;DAY(B164)&amp;"."&amp;MONTH(B164)&amp;"."&amp;YEAR(B164)</f>
        <v>Poptávka TURTO - Leviat - BD Zahrádky Branišovská - izolační nosníky - 8.6.2026</v>
      </c>
    </row>
    <row r="165" spans="1:9" s="14" customFormat="1">
      <c r="A165" s="15" t="s">
        <v>886</v>
      </c>
      <c r="B165" s="17">
        <v>46181</v>
      </c>
      <c r="C165" s="17">
        <v>46181</v>
      </c>
      <c r="D165" s="15" t="s">
        <v>46</v>
      </c>
      <c r="E165" s="15" t="s">
        <v>1289</v>
      </c>
      <c r="F165" s="15" t="s">
        <v>912</v>
      </c>
      <c r="G165" s="15" t="s">
        <v>906</v>
      </c>
      <c r="H165" s="15"/>
      <c r="I165" s="15" t="str">
        <f>"Poptávka TURTO - "&amp;A165&amp;" - "&amp;IF(F165=data!$E$1,E165&amp;" - ","")&amp;G165&amp;" - "&amp;DAY(B165)&amp;"."&amp;MONTH(B165)&amp;"."&amp;YEAR(B165)</f>
        <v>Poptávka TURTO - PohlCon - izolační nosníky - 8.6.2026</v>
      </c>
    </row>
    <row r="166" spans="1:9" s="14" customFormat="1">
      <c r="A166" s="15" t="s">
        <v>885</v>
      </c>
      <c r="B166" s="17">
        <v>46181</v>
      </c>
      <c r="C166" s="17">
        <v>46181</v>
      </c>
      <c r="D166" s="15" t="s">
        <v>46</v>
      </c>
      <c r="E166" s="15" t="s">
        <v>1289</v>
      </c>
      <c r="F166" s="15" t="s">
        <v>911</v>
      </c>
      <c r="G166" s="15" t="s">
        <v>906</v>
      </c>
      <c r="H166" s="15"/>
      <c r="I166" s="15" t="str">
        <f>"Poptávka TURTO - "&amp;A166&amp;" - "&amp;IF(F166=data!$E$1,E166&amp;" - ","")&amp;G166&amp;" - "&amp;DAY(B166)&amp;"."&amp;MONTH(B166)&amp;"."&amp;YEAR(B166)</f>
        <v>Poptávka TURTO - Leviat - Dolní Rokytná - izolační nosníky - 8.6.2026</v>
      </c>
    </row>
    <row r="167" spans="1:9" s="14" customFormat="1">
      <c r="A167" s="15" t="s">
        <v>885</v>
      </c>
      <c r="B167" s="17">
        <v>46180</v>
      </c>
      <c r="C167" s="17">
        <v>46181</v>
      </c>
      <c r="D167" s="15" t="s">
        <v>811</v>
      </c>
      <c r="E167" s="15" t="s">
        <v>1288</v>
      </c>
      <c r="F167" s="15" t="s">
        <v>911</v>
      </c>
      <c r="G167" s="15" t="s">
        <v>906</v>
      </c>
      <c r="H167" s="15"/>
      <c r="I167" s="15" t="str">
        <f>"Poptávka TURTO - "&amp;A167&amp;" - "&amp;IF(F167=data!$E$1,E167&amp;" - ","")&amp;G167&amp;" - "&amp;DAY(B167)&amp;"."&amp;MONTH(B167)&amp;"."&amp;YEAR(B167)</f>
        <v>Poptávka TURTO - Leviat - BD Boleslavova - izolační nosníky - 7.6.2026</v>
      </c>
    </row>
    <row r="168" spans="1:9" s="14" customFormat="1">
      <c r="A168" s="15" t="s">
        <v>1287</v>
      </c>
      <c r="B168" s="17">
        <v>46178</v>
      </c>
      <c r="C168" s="17"/>
      <c r="D168" s="15" t="s">
        <v>520</v>
      </c>
      <c r="E168" s="15" t="s">
        <v>1286</v>
      </c>
      <c r="F168" s="15" t="s">
        <v>912</v>
      </c>
      <c r="G168" s="15" t="s">
        <v>909</v>
      </c>
      <c r="H168" s="15"/>
      <c r="I168" s="15" t="str">
        <f>"Poptávka TURTO - "&amp;A168&amp;" - "&amp;IF(F168=data!$E$1,E168&amp;" - ","")&amp;G168&amp;" - "&amp;DAY(B168)&amp;"."&amp;MONTH(B168)&amp;"."&amp;YEAR(B168)</f>
        <v>Poptávka TURTO - Bettra - prostupy - 5.6.2026</v>
      </c>
    </row>
    <row r="169" spans="1:9" s="14" customFormat="1">
      <c r="A169" s="15" t="s">
        <v>888</v>
      </c>
      <c r="B169" s="17">
        <v>46178</v>
      </c>
      <c r="C169" s="17">
        <v>46182</v>
      </c>
      <c r="D169" s="15" t="s">
        <v>520</v>
      </c>
      <c r="E169" s="15" t="s">
        <v>1286</v>
      </c>
      <c r="F169" s="15" t="s">
        <v>911</v>
      </c>
      <c r="G169" s="15" t="s">
        <v>909</v>
      </c>
      <c r="H169" s="15" t="s">
        <v>881</v>
      </c>
      <c r="I169" s="15" t="str">
        <f>"Poptávka TURTO - "&amp;A169&amp;" - "&amp;IF(F169=data!$E$1,E169&amp;" - ","")&amp;G169&amp;" - "&amp;DAY(B169)&amp;"."&amp;MONTH(B169)&amp;"."&amp;YEAR(B169)</f>
        <v>Poptávka TURTO - GeroTop - SO Zámeček Jenerálka - prostupy - 5.6.2026</v>
      </c>
    </row>
    <row r="170" spans="1:9" s="14" customFormat="1" ht="30">
      <c r="A170" s="15" t="s">
        <v>885</v>
      </c>
      <c r="B170" s="17">
        <v>46178</v>
      </c>
      <c r="C170" s="17">
        <v>46178</v>
      </c>
      <c r="D170" s="15" t="s">
        <v>475</v>
      </c>
      <c r="E170" s="15" t="s">
        <v>1244</v>
      </c>
      <c r="F170" s="15" t="s">
        <v>911</v>
      </c>
      <c r="G170" s="15" t="s">
        <v>906</v>
      </c>
      <c r="H170" s="15"/>
      <c r="I170" s="15" t="str">
        <f>"Poptávka TURTO - "&amp;A170&amp;" - "&amp;IF(F170=data!$E$1,E170&amp;" - ","")&amp;G170&amp;" - "&amp;DAY(B170)&amp;"."&amp;MONTH(B170)&amp;"."&amp;YEAR(B170)</f>
        <v>Poptávka TURTO - Leviat - BD U Zvonu - izolační nosníky - 5.6.2026</v>
      </c>
    </row>
    <row r="171" spans="1:9" s="14" customFormat="1" ht="30">
      <c r="A171" s="15" t="s">
        <v>940</v>
      </c>
      <c r="B171" s="17">
        <v>46178</v>
      </c>
      <c r="C171" s="17">
        <v>46181</v>
      </c>
      <c r="D171" s="15" t="s">
        <v>97</v>
      </c>
      <c r="E171" s="15" t="s">
        <v>3</v>
      </c>
      <c r="F171" s="15" t="s">
        <v>911</v>
      </c>
      <c r="G171" s="15" t="s">
        <v>1281</v>
      </c>
      <c r="H171" s="15"/>
      <c r="I171" s="15" t="str">
        <f>"Poptávka TURTO - "&amp;A171&amp;" - "&amp;IF(F171=data!$E$1,E171&amp;" - ","")&amp;G171&amp;" - "&amp;DAY(B171)&amp;"."&amp;MONTH(B171)&amp;"."&amp;YEAR(B171)</f>
        <v>Poptávka TURTO - JFP TRADE - Kolben Park III - Sylodyn - 5.6.2026</v>
      </c>
    </row>
    <row r="172" spans="1:9" s="14" customFormat="1">
      <c r="A172" s="15" t="s">
        <v>885</v>
      </c>
      <c r="B172" s="17">
        <v>46178</v>
      </c>
      <c r="C172" s="17">
        <v>46178</v>
      </c>
      <c r="D172" s="15" t="s">
        <v>139</v>
      </c>
      <c r="E172" s="15" t="s">
        <v>1280</v>
      </c>
      <c r="F172" s="15" t="s">
        <v>911</v>
      </c>
      <c r="G172" s="15" t="s">
        <v>906</v>
      </c>
      <c r="H172" s="15"/>
      <c r="I172" s="15" t="str">
        <f>"Poptávka TURTO - "&amp;A172&amp;" - "&amp;IF(F172=data!$E$1,E172&amp;" - ","")&amp;G172&amp;" - "&amp;DAY(B172)&amp;"."&amp;MONTH(B172)&amp;"."&amp;YEAR(B172)</f>
        <v>Poptávka TURTO - Leviat - SUPŠ Karlovy Vary - izolační nosníky - 5.6.2026</v>
      </c>
    </row>
    <row r="173" spans="1:9" s="14" customFormat="1">
      <c r="A173" s="15" t="s">
        <v>886</v>
      </c>
      <c r="B173" s="17">
        <v>46178</v>
      </c>
      <c r="C173" s="17">
        <v>46181</v>
      </c>
      <c r="D173" s="15" t="s">
        <v>747</v>
      </c>
      <c r="E173" s="15" t="s">
        <v>1030</v>
      </c>
      <c r="F173" s="15" t="s">
        <v>912</v>
      </c>
      <c r="G173" s="15" t="s">
        <v>907</v>
      </c>
      <c r="H173" s="15"/>
      <c r="I173" s="15" t="str">
        <f>"Poptávka TURTO - "&amp;A173&amp;" - "&amp;IF(F173=data!$E$1,E173&amp;" - ","")&amp;G173&amp;" - "&amp;DAY(B173)&amp;"."&amp;MONTH(B173)&amp;"."&amp;YEAR(B173)</f>
        <v>Poptávka TURTO - PohlCon - smyková výztuž - 5.6.2026</v>
      </c>
    </row>
    <row r="174" spans="1:9" s="14" customFormat="1">
      <c r="A174" s="15" t="s">
        <v>885</v>
      </c>
      <c r="B174" s="17">
        <v>46178</v>
      </c>
      <c r="C174" s="17">
        <v>46178</v>
      </c>
      <c r="D174" s="15" t="s">
        <v>653</v>
      </c>
      <c r="E174" s="15" t="s">
        <v>1279</v>
      </c>
      <c r="F174" s="15" t="s">
        <v>911</v>
      </c>
      <c r="G174" s="15" t="s">
        <v>906</v>
      </c>
      <c r="H174" s="15"/>
      <c r="I174" s="15" t="str">
        <f>"Poptávka TURTO - "&amp;A174&amp;" - "&amp;IF(F174=data!$E$1,E174&amp;" - ","")&amp;G174&amp;" - "&amp;DAY(B174)&amp;"."&amp;MONTH(B174)&amp;"."&amp;YEAR(B174)</f>
        <v>Poptávka TURTO - Leviat - Rezidence Lochkov II - izolační nosníky - 5.6.2026</v>
      </c>
    </row>
    <row r="175" spans="1:9" s="14" customFormat="1">
      <c r="A175" s="15" t="s">
        <v>891</v>
      </c>
      <c r="B175" s="17">
        <v>46177</v>
      </c>
      <c r="C175" s="17">
        <v>46184</v>
      </c>
      <c r="D175" s="15" t="s">
        <v>747</v>
      </c>
      <c r="E175" s="15" t="s">
        <v>1030</v>
      </c>
      <c r="F175" s="15" t="s">
        <v>912</v>
      </c>
      <c r="G175" s="15" t="s">
        <v>1224</v>
      </c>
      <c r="H175" s="15" t="s">
        <v>1298</v>
      </c>
      <c r="I175" s="15" t="str">
        <f>"Poptávka TURTO - "&amp;A175&amp;" - "&amp;IF(F175=data!$E$1,E175&amp;" - ","")&amp;G175&amp;" - "&amp;DAY(B175)&amp;"."&amp;MONTH(B175)&amp;"."&amp;YEAR(B175)</f>
        <v>Poptávka TURTO - Nevoga - monotub - 4.6.2026</v>
      </c>
    </row>
    <row r="176" spans="1:9" s="14" customFormat="1" ht="30">
      <c r="A176" s="15" t="s">
        <v>885</v>
      </c>
      <c r="B176" s="17">
        <v>46177</v>
      </c>
      <c r="C176" s="17">
        <v>46178</v>
      </c>
      <c r="D176" s="15" t="s">
        <v>557</v>
      </c>
      <c r="E176" s="15" t="s">
        <v>14</v>
      </c>
      <c r="F176" s="15" t="s">
        <v>911</v>
      </c>
      <c r="G176" s="15" t="s">
        <v>906</v>
      </c>
      <c r="H176" s="15"/>
      <c r="I176" s="15" t="str">
        <f>"Poptávka TURTO - "&amp;A176&amp;" - "&amp;IF(F176=data!$E$1,E176&amp;" - ","")&amp;G176&amp;" - "&amp;DAY(B176)&amp;"."&amp;MONTH(B176)&amp;"."&amp;YEAR(B176)</f>
        <v>Poptávka TURTO - Leviat - BD Starochodovská - izolační nosníky - 4.6.2026</v>
      </c>
    </row>
    <row r="177" spans="1:9" s="14" customFormat="1">
      <c r="A177" s="15" t="s">
        <v>886</v>
      </c>
      <c r="B177" s="17">
        <v>46177</v>
      </c>
      <c r="C177" s="17">
        <v>46190</v>
      </c>
      <c r="D177" s="15" t="s">
        <v>269</v>
      </c>
      <c r="E177" s="15" t="s">
        <v>1286</v>
      </c>
      <c r="F177" s="15" t="s">
        <v>912</v>
      </c>
      <c r="G177" s="15" t="s">
        <v>913</v>
      </c>
      <c r="H177" s="15" t="s">
        <v>1295</v>
      </c>
      <c r="I177" s="15" t="str">
        <f>"Poptávka TURTO - "&amp;A177&amp;" - "&amp;IF(F177=data!$E$1,E177&amp;" - ","")&amp;G177&amp;" - "&amp;DAY(B177)&amp;"."&amp;MONTH(B177)&amp;"."&amp;YEAR(B177)</f>
        <v>Poptávka TURTO - PohlCon - vylamovací výztuž - 4.6.2026</v>
      </c>
    </row>
    <row r="178" spans="1:9" s="14" customFormat="1" ht="30">
      <c r="A178" s="15" t="s">
        <v>885</v>
      </c>
      <c r="B178" s="17">
        <v>46177</v>
      </c>
      <c r="C178" s="17">
        <v>46177</v>
      </c>
      <c r="D178" s="15" t="s">
        <v>722</v>
      </c>
      <c r="E178" s="15" t="s">
        <v>1274</v>
      </c>
      <c r="F178" s="15" t="s">
        <v>911</v>
      </c>
      <c r="G178" s="15" t="s">
        <v>906</v>
      </c>
      <c r="H178" s="15"/>
      <c r="I178" s="15" t="str">
        <f>"Poptávka TURTO - "&amp;A178&amp;" - "&amp;IF(F178=data!$E$1,E178&amp;" - ","")&amp;G178&amp;" - "&amp;DAY(B178)&amp;"."&amp;MONTH(B178)&amp;"."&amp;YEAR(B178)</f>
        <v>Poptávka TURTO - Leviat - RD Předměřice nad Labem - izolační nosníky - 4.6.2026</v>
      </c>
    </row>
    <row r="179" spans="1:9" s="14" customFormat="1">
      <c r="A179" s="15" t="s">
        <v>886</v>
      </c>
      <c r="B179" s="17">
        <v>46177</v>
      </c>
      <c r="C179" s="17">
        <v>46177</v>
      </c>
      <c r="D179" s="15" t="s">
        <v>653</v>
      </c>
      <c r="E179" s="15" t="s">
        <v>1272</v>
      </c>
      <c r="F179" s="15" t="s">
        <v>912</v>
      </c>
      <c r="G179" s="15" t="s">
        <v>64</v>
      </c>
      <c r="H179" s="15"/>
      <c r="I179" s="15" t="str">
        <f>"Poptávka TURTO - "&amp;A179&amp;" - "&amp;IF(F179=data!$E$1,E179&amp;" - ","")&amp;G179&amp;" - "&amp;DAY(B179)&amp;"."&amp;MONTH(B179)&amp;"."&amp;YEAR(B179)</f>
        <v>Poptávka TURTO - PohlCon - smykové trny - 4.6.2026</v>
      </c>
    </row>
    <row r="180" spans="1:9" s="14" customFormat="1">
      <c r="A180" s="15" t="s">
        <v>888</v>
      </c>
      <c r="B180" s="17">
        <v>46176</v>
      </c>
      <c r="C180" s="17">
        <v>46177</v>
      </c>
      <c r="D180" s="15" t="s">
        <v>653</v>
      </c>
      <c r="E180" s="15" t="s">
        <v>1272</v>
      </c>
      <c r="F180" s="15" t="s">
        <v>912</v>
      </c>
      <c r="G180" s="15" t="s">
        <v>909</v>
      </c>
      <c r="H180" s="15"/>
      <c r="I180" s="15" t="str">
        <f>"Poptávka TURTO - "&amp;A180&amp;" - "&amp;IF(F180=data!$E$1,E180&amp;" - ","")&amp;G180&amp;" - "&amp;DAY(B180)&amp;"."&amp;MONTH(B180)&amp;"."&amp;YEAR(B180)</f>
        <v>Poptávka TURTO - GeroTop - prostupy - 3.6.2026</v>
      </c>
    </row>
    <row r="181" spans="1:9" s="14" customFormat="1" ht="30">
      <c r="A181" s="15" t="s">
        <v>890</v>
      </c>
      <c r="B181" s="17">
        <v>46175</v>
      </c>
      <c r="C181" s="17">
        <v>46176</v>
      </c>
      <c r="D181" s="15" t="s">
        <v>760</v>
      </c>
      <c r="E181" s="15" t="s">
        <v>65</v>
      </c>
      <c r="F181" s="15" t="s">
        <v>912</v>
      </c>
      <c r="G181" s="15" t="s">
        <v>1126</v>
      </c>
      <c r="H181" s="15"/>
      <c r="I181" s="15" t="str">
        <f>"Poptávka TURTO - "&amp;A181&amp;" - "&amp;IF(F181=data!$E$1,E181&amp;" - ","")&amp;G181&amp;" - "&amp;DAY(B181)&amp;"."&amp;MONTH(B181)&amp;"."&amp;YEAR(B181)</f>
        <v>Poptávka TURTO - Pro-Doma - spojky výztuže - 2.6.2026</v>
      </c>
    </row>
    <row r="182" spans="1:9" s="14" customFormat="1" ht="30">
      <c r="A182" s="15" t="s">
        <v>1181</v>
      </c>
      <c r="B182" s="17">
        <v>46175</v>
      </c>
      <c r="C182" s="17">
        <v>46175</v>
      </c>
      <c r="D182" s="15" t="s">
        <v>463</v>
      </c>
      <c r="E182" s="15" t="s">
        <v>1225</v>
      </c>
      <c r="F182" s="15" t="s">
        <v>911</v>
      </c>
      <c r="G182" s="15" t="s">
        <v>959</v>
      </c>
      <c r="H182" s="15"/>
      <c r="I182" s="15" t="str">
        <f>"Poptávka TURTO - "&amp;A182&amp;" - "&amp;IF(F182=data!$E$1,E182&amp;" - ","")&amp;G182&amp;" - "&amp;DAY(B182)&amp;"."&amp;MONTH(B182)&amp;"."&amp;YEAR(B182)</f>
        <v>Poptávka TURTO - calenberg - Dům Vršovice - vibroizolace - 2.6.2026</v>
      </c>
    </row>
    <row r="183" spans="1:9" s="14" customFormat="1" ht="30">
      <c r="A183" s="15" t="s">
        <v>1166</v>
      </c>
      <c r="B183" s="17">
        <v>46175</v>
      </c>
      <c r="C183" s="17">
        <v>46181</v>
      </c>
      <c r="D183" s="15" t="s">
        <v>475</v>
      </c>
      <c r="E183" s="15" t="s">
        <v>899</v>
      </c>
      <c r="F183" s="15" t="s">
        <v>912</v>
      </c>
      <c r="G183" s="15" t="s">
        <v>1269</v>
      </c>
      <c r="H183" s="15"/>
      <c r="I183" s="15" t="str">
        <f>"Poptávka TURTO - "&amp;A183&amp;" - "&amp;IF(F183=data!$E$1,E183&amp;" - ","")&amp;G183&amp;" - "&amp;DAY(B183)&amp;"."&amp;MONTH(B183)&amp;"."&amp;YEAR(B183)</f>
        <v>Poptávka TURTO - SIKA - SIKASIL 670 Fire - 2.6.2026</v>
      </c>
    </row>
    <row r="184" spans="1:9" s="14" customFormat="1" ht="30">
      <c r="A184" s="15" t="s">
        <v>887</v>
      </c>
      <c r="B184" s="17">
        <v>46175</v>
      </c>
      <c r="C184" s="17">
        <v>46176</v>
      </c>
      <c r="D184" s="15" t="s">
        <v>475</v>
      </c>
      <c r="E184" s="15" t="s">
        <v>899</v>
      </c>
      <c r="F184" s="15" t="s">
        <v>912</v>
      </c>
      <c r="G184" s="15" t="s">
        <v>64</v>
      </c>
      <c r="H184" s="15"/>
      <c r="I184" s="15" t="str">
        <f>"Poptávka TURTO - "&amp;A184&amp;" - "&amp;IF(F184=data!$E$1,E184&amp;" - ","")&amp;G184&amp;" - "&amp;DAY(B184)&amp;"."&amp;MONTH(B184)&amp;"."&amp;YEAR(B184)</f>
        <v>Poptávka TURTO - MaxFrank - smykové trny - 2.6.2026</v>
      </c>
    </row>
    <row r="185" spans="1:9" s="14" customFormat="1" ht="30">
      <c r="A185" s="15" t="s">
        <v>886</v>
      </c>
      <c r="B185" s="17">
        <v>46175</v>
      </c>
      <c r="C185" s="17"/>
      <c r="D185" s="15" t="s">
        <v>475</v>
      </c>
      <c r="E185" s="15" t="s">
        <v>899</v>
      </c>
      <c r="F185" s="15" t="s">
        <v>912</v>
      </c>
      <c r="G185" s="15" t="s">
        <v>1268</v>
      </c>
      <c r="H185" s="15"/>
      <c r="I185" s="15" t="str">
        <f>"Poptávka TURTO - "&amp;A185&amp;" - "&amp;IF(F185=data!$E$1,E185&amp;" - ","")&amp;G185&amp;" - "&amp;DAY(B185)&amp;"."&amp;MONTH(B185)&amp;"."&amp;YEAR(B185)</f>
        <v>Poptávka TURTO - PohlCon - protipožární manžety - 2.6.2026</v>
      </c>
    </row>
    <row r="186" spans="1:9" s="14" customFormat="1" ht="30">
      <c r="A186" s="15" t="s">
        <v>888</v>
      </c>
      <c r="B186" s="17">
        <v>46175</v>
      </c>
      <c r="C186" s="17">
        <v>46176</v>
      </c>
      <c r="D186" s="15" t="s">
        <v>452</v>
      </c>
      <c r="E186" s="15" t="s">
        <v>1265</v>
      </c>
      <c r="F186" s="15" t="s">
        <v>912</v>
      </c>
      <c r="G186" s="15" t="s">
        <v>909</v>
      </c>
      <c r="H186" s="15"/>
      <c r="I186" s="15" t="str">
        <f>"Poptávka TURTO - "&amp;A186&amp;" - "&amp;IF(F186=data!$E$1,E186&amp;" - ","")&amp;G186&amp;" - "&amp;DAY(B186)&amp;"."&amp;MONTH(B186)&amp;"."&amp;YEAR(B186)</f>
        <v>Poptávka TURTO - GeroTop - prostupy - 2.6.2026</v>
      </c>
    </row>
    <row r="187" spans="1:9" s="14" customFormat="1" ht="45">
      <c r="A187" s="15" t="s">
        <v>889</v>
      </c>
      <c r="B187" s="17">
        <v>46174</v>
      </c>
      <c r="C187" s="17">
        <v>46175</v>
      </c>
      <c r="D187" s="15" t="s">
        <v>670</v>
      </c>
      <c r="E187" s="15" t="s">
        <v>955</v>
      </c>
      <c r="F187" s="15" t="s">
        <v>912</v>
      </c>
      <c r="G187" s="15" t="s">
        <v>1264</v>
      </c>
      <c r="H187" s="15"/>
      <c r="I187" s="15" t="str">
        <f>"Poptávka TURTO - "&amp;A187&amp;" - "&amp;IF(F187=data!$E$1,E187&amp;" - ","")&amp;G187&amp;" - "&amp;DAY(B187)&amp;"."&amp;MONTH(B187)&amp;"."&amp;YEAR(B187)</f>
        <v>Poptávka TURTO - Peikko - přepravní kotvy - 1.6.2026</v>
      </c>
    </row>
    <row r="188" spans="1:9" s="14" customFormat="1" ht="45">
      <c r="A188" s="15" t="s">
        <v>886</v>
      </c>
      <c r="B188" s="17">
        <v>46174</v>
      </c>
      <c r="C188" s="17"/>
      <c r="D188" s="15" t="s">
        <v>670</v>
      </c>
      <c r="E188" s="15" t="s">
        <v>955</v>
      </c>
      <c r="F188" s="15" t="s">
        <v>912</v>
      </c>
      <c r="G188" s="15" t="s">
        <v>1264</v>
      </c>
      <c r="H188" s="15"/>
      <c r="I188" s="15" t="str">
        <f>"Poptávka TURTO - "&amp;A188&amp;" - "&amp;IF(F188=data!$E$1,E188&amp;" - ","")&amp;G188&amp;" - "&amp;DAY(B188)&amp;"."&amp;MONTH(B188)&amp;"."&amp;YEAR(B188)</f>
        <v>Poptávka TURTO - PohlCon - přepravní kotvy - 1.6.2026</v>
      </c>
    </row>
    <row r="189" spans="1:9" s="14" customFormat="1">
      <c r="A189" s="15" t="s">
        <v>888</v>
      </c>
      <c r="B189" s="17">
        <v>46174</v>
      </c>
      <c r="C189" s="17">
        <v>46175</v>
      </c>
      <c r="D189" s="15" t="s">
        <v>747</v>
      </c>
      <c r="E189" s="15" t="s">
        <v>1263</v>
      </c>
      <c r="F189" s="15" t="s">
        <v>912</v>
      </c>
      <c r="G189" s="15" t="s">
        <v>909</v>
      </c>
      <c r="H189" s="15"/>
      <c r="I189" s="15" t="str">
        <f>"Poptávka TURTO - "&amp;A189&amp;" - "&amp;IF(F189=data!$E$1,E189&amp;" - ","")&amp;G189&amp;" - "&amp;DAY(B189)&amp;"."&amp;MONTH(B189)&amp;"."&amp;YEAR(B189)</f>
        <v>Poptávka TURTO - GeroTop - prostupy - 1.6.2026</v>
      </c>
    </row>
    <row r="190" spans="1:9" s="14" customFormat="1">
      <c r="A190" s="15" t="s">
        <v>888</v>
      </c>
      <c r="B190" s="17">
        <v>46174</v>
      </c>
      <c r="C190" s="17">
        <v>46175</v>
      </c>
      <c r="D190" s="15" t="s">
        <v>71</v>
      </c>
      <c r="E190" s="15" t="s">
        <v>1255</v>
      </c>
      <c r="F190" s="15" t="s">
        <v>911</v>
      </c>
      <c r="G190" s="15" t="s">
        <v>909</v>
      </c>
      <c r="H190" s="15"/>
      <c r="I190" s="15" t="str">
        <f>"Poptávka TURTO - "&amp;A190&amp;" - "&amp;IF(F190=data!$E$1,E190&amp;" - ","")&amp;G190&amp;" - "&amp;DAY(B190)&amp;"."&amp;MONTH(B190)&amp;"."&amp;YEAR(B190)</f>
        <v>Poptávka TURTO - GeroTop - BIDFOOD Kralupy - prostupy - 1.6.2026</v>
      </c>
    </row>
    <row r="191" spans="1:9" s="14" customFormat="1" ht="30">
      <c r="A191" s="15" t="s">
        <v>885</v>
      </c>
      <c r="B191" s="17">
        <v>46174</v>
      </c>
      <c r="C191" s="17">
        <v>46181</v>
      </c>
      <c r="D191" s="15" t="s">
        <v>635</v>
      </c>
      <c r="E191" s="15" t="s">
        <v>1262</v>
      </c>
      <c r="F191" s="15" t="s">
        <v>911</v>
      </c>
      <c r="G191" s="15" t="s">
        <v>906</v>
      </c>
      <c r="H191" s="15"/>
      <c r="I191" s="15" t="str">
        <f>"Poptávka TURTO - "&amp;A191&amp;" - "&amp;IF(F191=data!$E$1,E191&amp;" - ","")&amp;G191&amp;" - "&amp;DAY(B191)&amp;"."&amp;MONTH(B191)&amp;"."&amp;YEAR(B191)</f>
        <v>Poptávka TURTO - Leviat - Rohan-Karlín - izolační nosníky - 1.6.2026</v>
      </c>
    </row>
    <row r="192" spans="1:9" s="14" customFormat="1">
      <c r="A192" s="15" t="s">
        <v>886</v>
      </c>
      <c r="B192" s="17">
        <v>46174</v>
      </c>
      <c r="C192" s="17">
        <v>46174</v>
      </c>
      <c r="D192" s="15" t="s">
        <v>269</v>
      </c>
      <c r="E192" s="15" t="s">
        <v>977</v>
      </c>
      <c r="F192" s="15" t="s">
        <v>912</v>
      </c>
      <c r="G192" s="15" t="s">
        <v>1131</v>
      </c>
      <c r="H192" s="15"/>
      <c r="I192" s="15" t="str">
        <f>"Poptávka TURTO - "&amp;A192&amp;" - "&amp;IF(F192=data!$E$1,E192&amp;" - ","")&amp;G192&amp;" - "&amp;DAY(B192)&amp;"."&amp;MONTH(B192)&amp;"."&amp;YEAR(B192)</f>
        <v>Poptávka TURTO - PohlCon - vlnová kotva - 1.6.2026</v>
      </c>
    </row>
    <row r="193" spans="1:9" s="14" customFormat="1">
      <c r="A193" s="15" t="s">
        <v>888</v>
      </c>
      <c r="B193" s="17">
        <v>46173</v>
      </c>
      <c r="C193" s="17">
        <v>46174</v>
      </c>
      <c r="D193" s="15" t="s">
        <v>311</v>
      </c>
      <c r="E193" s="15" t="s">
        <v>1261</v>
      </c>
      <c r="F193" s="15" t="s">
        <v>912</v>
      </c>
      <c r="G193" s="15" t="s">
        <v>909</v>
      </c>
      <c r="H193" s="15"/>
      <c r="I193" s="15" t="str">
        <f>"Poptávka TURTO - "&amp;A193&amp;" - "&amp;IF(F193=data!$E$1,E193&amp;" - ","")&amp;G193&amp;" - "&amp;DAY(B193)&amp;"."&amp;MONTH(B193)&amp;"."&amp;YEAR(B193)</f>
        <v>Poptávka TURTO - GeroTop - prostupy - 31.5.2026</v>
      </c>
    </row>
    <row r="194" spans="1:9" s="14" customFormat="1" ht="60">
      <c r="A194" s="15" t="s">
        <v>889</v>
      </c>
      <c r="B194" s="17">
        <v>46173</v>
      </c>
      <c r="C194" s="17">
        <v>46174</v>
      </c>
      <c r="D194" s="15" t="s">
        <v>698</v>
      </c>
      <c r="E194" s="15" t="s">
        <v>1258</v>
      </c>
      <c r="F194" s="15" t="s">
        <v>912</v>
      </c>
      <c r="G194" s="15" t="s">
        <v>907</v>
      </c>
      <c r="H194" s="15"/>
      <c r="I194" s="15" t="str">
        <f>"Poptávka TURTO - "&amp;A194&amp;" - "&amp;IF(F194=data!$E$1,E194&amp;" - ","")&amp;G194&amp;" - "&amp;DAY(B194)&amp;"."&amp;MONTH(B194)&amp;"."&amp;YEAR(B194)</f>
        <v>Poptávka TURTO - Peikko - smyková výztuž - 31.5.2026</v>
      </c>
    </row>
    <row r="195" spans="1:9" s="14" customFormat="1" ht="60">
      <c r="A195" s="15" t="s">
        <v>886</v>
      </c>
      <c r="B195" s="17">
        <v>46173</v>
      </c>
      <c r="C195" s="17">
        <v>46174</v>
      </c>
      <c r="D195" s="15" t="s">
        <v>698</v>
      </c>
      <c r="E195" s="15" t="s">
        <v>1258</v>
      </c>
      <c r="F195" s="15" t="s">
        <v>912</v>
      </c>
      <c r="G195" s="15" t="s">
        <v>907</v>
      </c>
      <c r="H195" s="15"/>
      <c r="I195" s="15" t="str">
        <f>"Poptávka TURTO - "&amp;A195&amp;" - "&amp;IF(F195=data!$E$1,E195&amp;" - ","")&amp;G195&amp;" - "&amp;DAY(B195)&amp;"."&amp;MONTH(B195)&amp;"."&amp;YEAR(B195)</f>
        <v>Poptávka TURTO - PohlCon - smyková výztuž - 31.5.2026</v>
      </c>
    </row>
    <row r="196" spans="1:9" s="14" customFormat="1">
      <c r="A196" s="15" t="s">
        <v>888</v>
      </c>
      <c r="B196" s="17">
        <v>46171</v>
      </c>
      <c r="C196" s="17">
        <v>46171</v>
      </c>
      <c r="D196" s="15" t="s">
        <v>152</v>
      </c>
      <c r="E196" s="15" t="s">
        <v>1029</v>
      </c>
      <c r="F196" s="15" t="s">
        <v>911</v>
      </c>
      <c r="G196" s="15" t="s">
        <v>909</v>
      </c>
      <c r="H196" s="15"/>
      <c r="I196" s="15" t="str">
        <f>"Poptávka TURTO - "&amp;A196&amp;" - "&amp;IF(F196=data!$E$1,E196&amp;" - ","")&amp;G196&amp;" - "&amp;DAY(B196)&amp;"."&amp;MONTH(B196)&amp;"."&amp;YEAR(B196)</f>
        <v>Poptávka TURTO - GeroTop - BD Tovačovského - prostupy - 29.5.2026</v>
      </c>
    </row>
    <row r="197" spans="1:9" s="14" customFormat="1">
      <c r="A197" s="15" t="s">
        <v>886</v>
      </c>
      <c r="B197" s="17">
        <v>46171</v>
      </c>
      <c r="C197" s="17">
        <v>46171</v>
      </c>
      <c r="D197" s="15" t="s">
        <v>125</v>
      </c>
      <c r="E197" s="15" t="s">
        <v>1253</v>
      </c>
      <c r="F197" s="15" t="s">
        <v>912</v>
      </c>
      <c r="G197" s="15" t="s">
        <v>907</v>
      </c>
      <c r="H197" s="15"/>
      <c r="I197" s="15" t="str">
        <f>"Poptávka TURTO - "&amp;A197&amp;" - "&amp;IF(F197=data!$E$1,E197&amp;" - ","")&amp;G197&amp;" - "&amp;DAY(B197)&amp;"."&amp;MONTH(B197)&amp;"."&amp;YEAR(B197)</f>
        <v>Poptávka TURTO - PohlCon - smyková výztuž - 29.5.2026</v>
      </c>
    </row>
    <row r="198" spans="1:9" s="14" customFormat="1">
      <c r="A198" s="15" t="s">
        <v>891</v>
      </c>
      <c r="B198" s="17">
        <v>46170</v>
      </c>
      <c r="C198" s="17">
        <v>46170</v>
      </c>
      <c r="D198" s="15" t="s">
        <v>577</v>
      </c>
      <c r="E198" s="15" t="s">
        <v>6</v>
      </c>
      <c r="F198" s="15" t="s">
        <v>912</v>
      </c>
      <c r="G198" s="15" t="s">
        <v>913</v>
      </c>
      <c r="H198" s="15"/>
      <c r="I198" s="15" t="str">
        <f>"Poptávka TURTO - "&amp;A198&amp;" - "&amp;IF(F198=data!$E$1,E198&amp;" - ","")&amp;G198&amp;" - "&amp;DAY(B198)&amp;"."&amp;MONTH(B198)&amp;"."&amp;YEAR(B198)</f>
        <v>Poptávka TURTO - Nevoga - vylamovací výztuž - 28.5.2026</v>
      </c>
    </row>
    <row r="199" spans="1:9" s="14" customFormat="1" ht="30">
      <c r="A199" s="15" t="s">
        <v>893</v>
      </c>
      <c r="B199" s="17">
        <v>46170</v>
      </c>
      <c r="C199" s="17">
        <v>46170</v>
      </c>
      <c r="D199" s="15" t="s">
        <v>80</v>
      </c>
      <c r="E199" s="15"/>
      <c r="F199" s="15" t="s">
        <v>912</v>
      </c>
      <c r="G199" s="15" t="s">
        <v>58</v>
      </c>
      <c r="H199" s="15"/>
      <c r="I199" s="15" t="str">
        <f>"Poptávka TURTO - "&amp;A199&amp;" - "&amp;IF(F199=data!$E$1,E199&amp;" - ","")&amp;G199&amp;" - "&amp;DAY(B199)&amp;"."&amp;MONTH(B199)&amp;"."&amp;YEAR(B199)</f>
        <v>Poptávka TURTO - Pragoelast - GR desky - 28.5.2026</v>
      </c>
    </row>
    <row r="200" spans="1:9" s="14" customFormat="1" ht="30">
      <c r="A200" s="15" t="s">
        <v>885</v>
      </c>
      <c r="B200" s="17">
        <v>46170</v>
      </c>
      <c r="C200" s="17">
        <v>46171</v>
      </c>
      <c r="D200" s="15" t="s">
        <v>463</v>
      </c>
      <c r="E200" s="15" t="s">
        <v>1225</v>
      </c>
      <c r="F200" s="15" t="s">
        <v>911</v>
      </c>
      <c r="G200" s="15" t="s">
        <v>906</v>
      </c>
      <c r="H200" s="15"/>
      <c r="I200" s="15" t="str">
        <f>"Poptávka TURTO - "&amp;A200&amp;" - "&amp;IF(F200=data!$E$1,E200&amp;" - ","")&amp;G200&amp;" - "&amp;DAY(B200)&amp;"."&amp;MONTH(B200)&amp;"."&amp;YEAR(B200)</f>
        <v>Poptávka TURTO - Leviat - Dům Vršovice - izolační nosníky - 28.5.2026</v>
      </c>
    </row>
    <row r="201" spans="1:9" s="14" customFormat="1">
      <c r="A201" s="15" t="s">
        <v>885</v>
      </c>
      <c r="B201" s="17">
        <v>46170</v>
      </c>
      <c r="C201" s="17">
        <v>46171</v>
      </c>
      <c r="D201" s="15" t="s">
        <v>311</v>
      </c>
      <c r="E201" s="15" t="s">
        <v>1250</v>
      </c>
      <c r="F201" s="15" t="s">
        <v>911</v>
      </c>
      <c r="G201" s="15" t="s">
        <v>906</v>
      </c>
      <c r="H201" s="15"/>
      <c r="I201" s="15" t="str">
        <f>"Poptávka TURTO - "&amp;A201&amp;" - "&amp;IF(F201=data!$E$1,E201&amp;" - ","")&amp;G201&amp;" - "&amp;DAY(B201)&amp;"."&amp;MONTH(B201)&amp;"."&amp;YEAR(B201)</f>
        <v>Poptávka TURTO - Leviat - Kostel Neratovice - izolační nosníky - 28.5.2026</v>
      </c>
    </row>
    <row r="202" spans="1:9" s="14" customFormat="1">
      <c r="A202" s="15" t="s">
        <v>886</v>
      </c>
      <c r="B202" s="17">
        <v>46170</v>
      </c>
      <c r="C202" s="17">
        <v>46171</v>
      </c>
      <c r="D202" s="15" t="s">
        <v>339</v>
      </c>
      <c r="E202" s="15" t="s">
        <v>1100</v>
      </c>
      <c r="F202" s="15" t="s">
        <v>912</v>
      </c>
      <c r="G202" s="15" t="s">
        <v>907</v>
      </c>
      <c r="H202" s="15"/>
      <c r="I202" s="15" t="str">
        <f>"Poptávka TURTO - "&amp;A202&amp;" - "&amp;IF(F202=data!$E$1,E202&amp;" - ","")&amp;G202&amp;" - "&amp;DAY(B202)&amp;"."&amp;MONTH(B202)&amp;"."&amp;YEAR(B202)</f>
        <v>Poptávka TURTO - PohlCon - smyková výztuž - 28.5.2026</v>
      </c>
    </row>
    <row r="203" spans="1:9" s="14" customFormat="1">
      <c r="A203" s="15" t="s">
        <v>885</v>
      </c>
      <c r="B203" s="17">
        <v>46169</v>
      </c>
      <c r="C203" s="17">
        <v>46169</v>
      </c>
      <c r="D203" s="15" t="s">
        <v>183</v>
      </c>
      <c r="E203" s="15" t="s">
        <v>1227</v>
      </c>
      <c r="F203" s="15" t="s">
        <v>911</v>
      </c>
      <c r="G203" s="15" t="s">
        <v>906</v>
      </c>
      <c r="H203" s="15"/>
      <c r="I203" s="15" t="str">
        <f>"Poptávka TURTO - "&amp;A203&amp;" - "&amp;IF(F203=data!$E$1,E203&amp;" - ","")&amp;G203&amp;" - "&amp;DAY(B203)&amp;"."&amp;MONTH(B203)&amp;"."&amp;YEAR(B203)</f>
        <v>Poptávka TURTO - Leviat - BD Zenklova - izolační nosníky - 27.5.2026</v>
      </c>
    </row>
    <row r="204" spans="1:9" s="14" customFormat="1" ht="30">
      <c r="A204" s="15" t="s">
        <v>1181</v>
      </c>
      <c r="B204" s="17">
        <v>46168</v>
      </c>
      <c r="C204" s="17">
        <v>46175</v>
      </c>
      <c r="D204" s="15" t="s">
        <v>557</v>
      </c>
      <c r="E204" s="15" t="s">
        <v>14</v>
      </c>
      <c r="F204" s="15" t="s">
        <v>911</v>
      </c>
      <c r="G204" s="15" t="s">
        <v>959</v>
      </c>
      <c r="H204" s="15" t="s">
        <v>1257</v>
      </c>
      <c r="I204" s="15" t="str">
        <f>"Poptávka TURTO - "&amp;A204&amp;" - "&amp;IF(F204=data!$E$1,E204&amp;" - ","")&amp;G204&amp;" - "&amp;DAY(B204)&amp;"."&amp;MONTH(B204)&amp;"."&amp;YEAR(B204)</f>
        <v>Poptávka TURTO - calenberg - BD Starochodovská - vibroizolace - 26.5.2026</v>
      </c>
    </row>
    <row r="205" spans="1:9" s="14" customFormat="1">
      <c r="A205" s="15" t="s">
        <v>885</v>
      </c>
      <c r="B205" s="17">
        <v>46167</v>
      </c>
      <c r="C205" s="17">
        <v>46182</v>
      </c>
      <c r="D205" s="15" t="s">
        <v>653</v>
      </c>
      <c r="E205" s="15" t="s">
        <v>1235</v>
      </c>
      <c r="F205" s="15" t="s">
        <v>911</v>
      </c>
      <c r="G205" s="15" t="s">
        <v>906</v>
      </c>
      <c r="H205" s="15" t="s">
        <v>1295</v>
      </c>
      <c r="I205" s="15" t="str">
        <f>"Poptávka TURTO - "&amp;A205&amp;" - "&amp;IF(F205=data!$E$1,E205&amp;" - ","")&amp;G205&amp;" - "&amp;DAY(B205)&amp;"."&amp;MONTH(B205)&amp;"."&amp;YEAR(B205)</f>
        <v>Poptávka TURTO - Leviat - ZŠ Písnice - izolační nosníky - 25.5.2026</v>
      </c>
    </row>
    <row r="206" spans="1:9" s="14" customFormat="1">
      <c r="A206" s="15" t="s">
        <v>888</v>
      </c>
      <c r="B206" s="17">
        <v>46167</v>
      </c>
      <c r="C206" s="17">
        <v>46168</v>
      </c>
      <c r="D206" s="15" t="s">
        <v>653</v>
      </c>
      <c r="E206" s="15" t="s">
        <v>1235</v>
      </c>
      <c r="F206" s="15" t="s">
        <v>911</v>
      </c>
      <c r="G206" s="15" t="s">
        <v>909</v>
      </c>
      <c r="H206" s="15"/>
      <c r="I206" s="15" t="str">
        <f>"Poptávka TURTO - "&amp;A206&amp;" - "&amp;IF(F206=data!$E$1,E206&amp;" - ","")&amp;G206&amp;" - "&amp;DAY(B206)&amp;"."&amp;MONTH(B206)&amp;"."&amp;YEAR(B206)</f>
        <v>Poptávka TURTO - GeroTop - ZŠ Písnice - prostupy - 25.5.2026</v>
      </c>
    </row>
    <row r="207" spans="1:9" s="14" customFormat="1">
      <c r="A207" s="15" t="s">
        <v>885</v>
      </c>
      <c r="B207" s="17">
        <v>46167</v>
      </c>
      <c r="C207" s="17">
        <v>46168</v>
      </c>
      <c r="D207" s="15" t="s">
        <v>318</v>
      </c>
      <c r="E207" s="15" t="s">
        <v>1237</v>
      </c>
      <c r="F207" s="15" t="s">
        <v>911</v>
      </c>
      <c r="G207" s="15" t="s">
        <v>906</v>
      </c>
      <c r="H207" s="15"/>
      <c r="I207" s="15" t="str">
        <f>"Poptávka TURTO - "&amp;A207&amp;" - "&amp;IF(F207=data!$E$1,E207&amp;" - ","")&amp;G207&amp;" - "&amp;DAY(B207)&amp;"."&amp;MONTH(B207)&amp;"."&amp;YEAR(B207)</f>
        <v>Poptávka TURTO - Leviat - VIRTA Kladno - izolační nosníky - 25.5.2026</v>
      </c>
    </row>
    <row r="208" spans="1:9" s="14" customFormat="1">
      <c r="A208" s="15" t="s">
        <v>886</v>
      </c>
      <c r="B208" s="17">
        <v>46167</v>
      </c>
      <c r="C208" s="17">
        <v>46169</v>
      </c>
      <c r="D208" s="15" t="s">
        <v>158</v>
      </c>
      <c r="E208" s="15" t="s">
        <v>1238</v>
      </c>
      <c r="F208" s="15" t="s">
        <v>912</v>
      </c>
      <c r="G208" s="15" t="s">
        <v>907</v>
      </c>
      <c r="H208" s="15"/>
      <c r="I208" s="15" t="str">
        <f>"Poptávka TURTO - "&amp;A208&amp;" - "&amp;IF(F208=data!$E$1,E208&amp;" - ","")&amp;G208&amp;" - "&amp;DAY(B208)&amp;"."&amp;MONTH(B208)&amp;"."&amp;YEAR(B208)</f>
        <v>Poptávka TURTO - PohlCon - smyková výztuž - 25.5.2026</v>
      </c>
    </row>
    <row r="209" spans="1:9" s="14" customFormat="1">
      <c r="A209" s="15" t="s">
        <v>889</v>
      </c>
      <c r="B209" s="17">
        <v>46167</v>
      </c>
      <c r="C209" s="17">
        <v>46167</v>
      </c>
      <c r="D209" s="15" t="s">
        <v>158</v>
      </c>
      <c r="E209" s="15" t="s">
        <v>1238</v>
      </c>
      <c r="F209" s="15" t="s">
        <v>912</v>
      </c>
      <c r="G209" s="15" t="s">
        <v>907</v>
      </c>
      <c r="H209" s="15"/>
      <c r="I209" s="15" t="str">
        <f>"Poptávka TURTO - "&amp;A209&amp;" - "&amp;IF(F209=data!$E$1,E209&amp;" - ","")&amp;G209&amp;" - "&amp;DAY(B209)&amp;"."&amp;MONTH(B209)&amp;"."&amp;YEAR(B209)</f>
        <v>Poptávka TURTO - Peikko - smyková výztuž - 25.5.2026</v>
      </c>
    </row>
    <row r="210" spans="1:9" s="14" customFormat="1">
      <c r="A210" s="15" t="s">
        <v>885</v>
      </c>
      <c r="B210" s="17">
        <v>46164</v>
      </c>
      <c r="C210" s="17">
        <v>46164</v>
      </c>
      <c r="D210" s="15" t="s">
        <v>499</v>
      </c>
      <c r="E210" s="15" t="s">
        <v>1231</v>
      </c>
      <c r="F210" s="15" t="s">
        <v>911</v>
      </c>
      <c r="G210" s="15" t="s">
        <v>906</v>
      </c>
      <c r="H210" s="15"/>
      <c r="I210" s="15" t="str">
        <f>"Poptávka TURTO - "&amp;A210&amp;" - "&amp;IF(F210=data!$E$1,E210&amp;" - ","")&amp;G210&amp;" - "&amp;DAY(B210)&amp;"."&amp;MONTH(B210)&amp;"."&amp;YEAR(B210)</f>
        <v>Poptávka TURTO - Leviat - BD Vítězná - izolační nosníky - 22.5.2026</v>
      </c>
    </row>
    <row r="211" spans="1:9" s="14" customFormat="1">
      <c r="A211" s="15" t="s">
        <v>885</v>
      </c>
      <c r="B211" s="17">
        <v>46164</v>
      </c>
      <c r="C211" s="17">
        <v>46164</v>
      </c>
      <c r="D211" s="15" t="s">
        <v>499</v>
      </c>
      <c r="E211" s="15" t="s">
        <v>1232</v>
      </c>
      <c r="F211" s="15" t="s">
        <v>911</v>
      </c>
      <c r="G211" s="15" t="s">
        <v>906</v>
      </c>
      <c r="H211" s="15"/>
      <c r="I211" s="15" t="str">
        <f>"Poptávka TURTO - "&amp;A211&amp;" - "&amp;IF(F211=data!$E$1,E211&amp;" - ","")&amp;G211&amp;" - "&amp;DAY(B211)&amp;"."&amp;MONTH(B211)&amp;"."&amp;YEAR(B211)</f>
        <v>Poptávka TURTO - Leviat - BD Vídeňská - izolační nosníky - 22.5.2026</v>
      </c>
    </row>
    <row r="212" spans="1:9" s="14" customFormat="1">
      <c r="A212" s="15" t="s">
        <v>888</v>
      </c>
      <c r="B212" s="17">
        <v>46164</v>
      </c>
      <c r="C212" s="17">
        <v>46164</v>
      </c>
      <c r="D212" s="15" t="s">
        <v>568</v>
      </c>
      <c r="E212" s="15" t="s">
        <v>1230</v>
      </c>
      <c r="F212" s="15" t="s">
        <v>912</v>
      </c>
      <c r="G212" s="15" t="s">
        <v>909</v>
      </c>
      <c r="H212" s="15"/>
      <c r="I212" s="15" t="str">
        <f>"Poptávka TURTO - "&amp;A212&amp;" - "&amp;IF(F212=data!$E$1,E212&amp;" - ","")&amp;G212&amp;" - "&amp;DAY(B212)&amp;"."&amp;MONTH(B212)&amp;"."&amp;YEAR(B212)</f>
        <v>Poptávka TURTO - GeroTop - prostupy - 22.5.2026</v>
      </c>
    </row>
    <row r="213" spans="1:9" s="14" customFormat="1" ht="30">
      <c r="A213" s="15" t="s">
        <v>940</v>
      </c>
      <c r="B213" s="17">
        <v>46163</v>
      </c>
      <c r="C213" s="17">
        <v>46164</v>
      </c>
      <c r="D213" s="15" t="s">
        <v>183</v>
      </c>
      <c r="E213" s="15" t="s">
        <v>1227</v>
      </c>
      <c r="F213" s="15" t="s">
        <v>912</v>
      </c>
      <c r="G213" s="15" t="s">
        <v>959</v>
      </c>
      <c r="H213" s="15"/>
      <c r="I213" s="15" t="str">
        <f>"Poptávka TURTO - "&amp;A213&amp;" - "&amp;IF(F213=data!$E$1,E213&amp;" - ","")&amp;G213&amp;" - "&amp;DAY(B213)&amp;"."&amp;MONTH(B213)&amp;"."&amp;YEAR(B213)</f>
        <v>Poptávka TURTO - JFP TRADE - vibroizolace - 21.5.2026</v>
      </c>
    </row>
    <row r="214" spans="1:9" s="14" customFormat="1">
      <c r="A214" s="15" t="s">
        <v>888</v>
      </c>
      <c r="B214" s="17">
        <v>46163</v>
      </c>
      <c r="C214" s="17">
        <v>46163</v>
      </c>
      <c r="D214" s="15" t="s">
        <v>183</v>
      </c>
      <c r="E214" s="15" t="s">
        <v>1227</v>
      </c>
      <c r="F214" s="15" t="s">
        <v>911</v>
      </c>
      <c r="G214" s="15" t="s">
        <v>909</v>
      </c>
      <c r="H214" s="15"/>
      <c r="I214" s="15" t="str">
        <f>"Poptávka TURTO - "&amp;A214&amp;" - "&amp;IF(F214=data!$E$1,E214&amp;" - ","")&amp;G214&amp;" - "&amp;DAY(B214)&amp;"."&amp;MONTH(B214)&amp;"."&amp;YEAR(B214)</f>
        <v>Poptávka TURTO - GeroTop - BD Zenklova - prostupy - 21.5.2026</v>
      </c>
    </row>
    <row r="215" spans="1:9" s="14" customFormat="1">
      <c r="A215" s="15" t="s">
        <v>885</v>
      </c>
      <c r="B215" s="17">
        <v>46162</v>
      </c>
      <c r="C215" s="17">
        <v>46164</v>
      </c>
      <c r="D215" s="15" t="s">
        <v>577</v>
      </c>
      <c r="E215" s="15" t="s">
        <v>937</v>
      </c>
      <c r="F215" s="15" t="s">
        <v>911</v>
      </c>
      <c r="G215" s="15" t="s">
        <v>906</v>
      </c>
      <c r="H215" s="15"/>
      <c r="I215" s="15" t="str">
        <f>"Poptávka TURTO - "&amp;A215&amp;" - "&amp;IF(F215=data!$E$1,E215&amp;" - ","")&amp;G215&amp;" - "&amp;DAY(B215)&amp;"."&amp;MONTH(B215)&amp;"."&amp;YEAR(B215)</f>
        <v>Poptávka TURTO - Leviat - BD Parmská - izolační nosníky - 20.5.2026</v>
      </c>
    </row>
    <row r="216" spans="1:9" s="14" customFormat="1">
      <c r="A216" s="15" t="s">
        <v>891</v>
      </c>
      <c r="B216" s="17">
        <v>46161</v>
      </c>
      <c r="C216" s="17">
        <v>46171</v>
      </c>
      <c r="D216" s="15" t="s">
        <v>812</v>
      </c>
      <c r="E216" s="15" t="s">
        <v>1223</v>
      </c>
      <c r="F216" s="15" t="s">
        <v>912</v>
      </c>
      <c r="G216" s="15" t="s">
        <v>1224</v>
      </c>
      <c r="H216" s="15"/>
      <c r="I216" s="15" t="str">
        <f>"Poptávka TURTO - "&amp;A216&amp;" - "&amp;IF(F216=data!$E$1,E216&amp;" - ","")&amp;G216&amp;" - "&amp;DAY(B216)&amp;"."&amp;MONTH(B216)&amp;"."&amp;YEAR(B216)</f>
        <v>Poptávka TURTO - Nevoga - monotub - 19.5.2026</v>
      </c>
    </row>
    <row r="217" spans="1:9" s="14" customFormat="1" ht="30">
      <c r="A217" s="15" t="s">
        <v>889</v>
      </c>
      <c r="B217" s="17">
        <v>46161</v>
      </c>
      <c r="C217" s="17">
        <v>46161</v>
      </c>
      <c r="D217" s="15" t="s">
        <v>760</v>
      </c>
      <c r="E217" s="15" t="s">
        <v>1091</v>
      </c>
      <c r="F217" s="15" t="s">
        <v>912</v>
      </c>
      <c r="G217" s="15" t="s">
        <v>907</v>
      </c>
      <c r="H217" s="15"/>
      <c r="I217" s="15" t="str">
        <f>"Poptávka TURTO - "&amp;A217&amp;" - "&amp;IF(F217=data!$E$1,E217&amp;" - ","")&amp;G217&amp;" - "&amp;DAY(B217)&amp;"."&amp;MONTH(B217)&amp;"."&amp;YEAR(B217)</f>
        <v>Poptávka TURTO - Peikko - smyková výztuž - 19.5.2026</v>
      </c>
    </row>
    <row r="218" spans="1:9" s="14" customFormat="1" ht="30">
      <c r="A218" s="15" t="s">
        <v>886</v>
      </c>
      <c r="B218" s="17">
        <v>46161</v>
      </c>
      <c r="C218" s="17">
        <v>46163</v>
      </c>
      <c r="D218" s="15" t="s">
        <v>760</v>
      </c>
      <c r="E218" s="15" t="s">
        <v>1091</v>
      </c>
      <c r="F218" s="15" t="s">
        <v>912</v>
      </c>
      <c r="G218" s="15" t="s">
        <v>907</v>
      </c>
      <c r="H218" s="15"/>
      <c r="I218" s="15" t="str">
        <f>"Poptávka TURTO - "&amp;A218&amp;" - "&amp;IF(F218=data!$E$1,E218&amp;" - ","")&amp;G218&amp;" - "&amp;DAY(B218)&amp;"."&amp;MONTH(B218)&amp;"."&amp;YEAR(B218)</f>
        <v>Poptávka TURTO - PohlCon - smyková výztuž - 19.5.2026</v>
      </c>
    </row>
    <row r="219" spans="1:9" s="14" customFormat="1" ht="30">
      <c r="A219" s="15" t="s">
        <v>889</v>
      </c>
      <c r="B219" s="17">
        <v>46161</v>
      </c>
      <c r="C219" s="17">
        <v>46176</v>
      </c>
      <c r="D219" s="15" t="s">
        <v>557</v>
      </c>
      <c r="E219" s="15" t="s">
        <v>14</v>
      </c>
      <c r="F219" s="15" t="s">
        <v>911</v>
      </c>
      <c r="G219" s="15" t="s">
        <v>906</v>
      </c>
      <c r="H219" s="15"/>
      <c r="I219" s="15" t="str">
        <f>"Poptávka TURTO - "&amp;A219&amp;" - "&amp;IF(F219=data!$E$1,E219&amp;" - ","")&amp;G219&amp;" - "&amp;DAY(B219)&amp;"."&amp;MONTH(B219)&amp;"."&amp;YEAR(B219)</f>
        <v>Poptávka TURTO - Peikko - BD Starochodovská - izolační nosníky - 19.5.2026</v>
      </c>
    </row>
    <row r="220" spans="1:9" s="14" customFormat="1">
      <c r="A220" s="15" t="s">
        <v>889</v>
      </c>
      <c r="B220" s="17">
        <v>46160</v>
      </c>
      <c r="C220" s="17">
        <v>46161</v>
      </c>
      <c r="D220" s="15" t="s">
        <v>812</v>
      </c>
      <c r="E220" s="15" t="s">
        <v>1221</v>
      </c>
      <c r="F220" s="15" t="s">
        <v>912</v>
      </c>
      <c r="G220" s="15" t="s">
        <v>907</v>
      </c>
      <c r="H220" s="15"/>
      <c r="I220" s="15" t="str">
        <f>"Poptávka TURTO - "&amp;A220&amp;" - "&amp;IF(F220=data!$E$1,E220&amp;" - ","")&amp;G220&amp;" - "&amp;DAY(B220)&amp;"."&amp;MONTH(B220)&amp;"."&amp;YEAR(B220)</f>
        <v>Poptávka TURTO - Peikko - smyková výztuž - 18.5.2026</v>
      </c>
    </row>
    <row r="221" spans="1:9" s="14" customFormat="1">
      <c r="A221" s="15" t="s">
        <v>886</v>
      </c>
      <c r="B221" s="17">
        <v>46160</v>
      </c>
      <c r="C221" s="17">
        <v>46161</v>
      </c>
      <c r="D221" s="15" t="s">
        <v>812</v>
      </c>
      <c r="E221" s="15" t="s">
        <v>1221</v>
      </c>
      <c r="F221" s="15" t="s">
        <v>912</v>
      </c>
      <c r="G221" s="15" t="s">
        <v>907</v>
      </c>
      <c r="H221" s="15"/>
      <c r="I221" s="15" t="str">
        <f>"Poptávka TURTO - "&amp;A221&amp;" - "&amp;IF(F221=data!$E$1,E221&amp;" - ","")&amp;G221&amp;" - "&amp;DAY(B221)&amp;"."&amp;MONTH(B221)&amp;"."&amp;YEAR(B221)</f>
        <v>Poptávka TURTO - PohlCon - smyková výztuž - 18.5.2026</v>
      </c>
    </row>
    <row r="222" spans="1:9" s="14" customFormat="1" ht="30">
      <c r="A222" s="15" t="s">
        <v>888</v>
      </c>
      <c r="B222" s="17">
        <v>46160</v>
      </c>
      <c r="C222" s="17">
        <v>46160</v>
      </c>
      <c r="D222" s="15" t="s">
        <v>847</v>
      </c>
      <c r="E222" s="15" t="s">
        <v>1207</v>
      </c>
      <c r="F222" s="15" t="s">
        <v>912</v>
      </c>
      <c r="G222" s="15" t="s">
        <v>909</v>
      </c>
      <c r="H222" s="15"/>
      <c r="I222" s="15" t="str">
        <f>"Poptávka TURTO - "&amp;A222&amp;" - "&amp;IF(F222=data!$E$1,E222&amp;" - ","")&amp;G222&amp;" - "&amp;DAY(B222)&amp;"."&amp;MONTH(B222)&amp;"."&amp;YEAR(B222)</f>
        <v>Poptávka TURTO - GeroTop - prostupy - 18.5.2026</v>
      </c>
    </row>
    <row r="223" spans="1:9" s="14" customFormat="1" ht="30">
      <c r="A223" s="15" t="s">
        <v>885</v>
      </c>
      <c r="B223" s="17">
        <v>46160</v>
      </c>
      <c r="C223" s="17">
        <v>46160</v>
      </c>
      <c r="D223" s="15" t="s">
        <v>475</v>
      </c>
      <c r="E223" s="15" t="s">
        <v>951</v>
      </c>
      <c r="F223" s="15" t="s">
        <v>912</v>
      </c>
      <c r="G223" s="15" t="s">
        <v>1163</v>
      </c>
      <c r="H223" s="15"/>
      <c r="I223" s="15" t="str">
        <f>"Poptávka TURTO - "&amp;A223&amp;" - "&amp;IF(F223=data!$E$1,E223&amp;" - ","")&amp;G223&amp;" - "&amp;DAY(B223)&amp;"."&amp;MONTH(B223)&amp;"."&amp;YEAR(B223)</f>
        <v>Poptávka TURTO - Leviat - HTA - 18.5.2026</v>
      </c>
    </row>
    <row r="224" spans="1:9" s="14" customFormat="1">
      <c r="A224" s="15" t="s">
        <v>889</v>
      </c>
      <c r="B224" s="17">
        <v>46160</v>
      </c>
      <c r="C224" s="17">
        <v>46182</v>
      </c>
      <c r="D224" s="15" t="s">
        <v>318</v>
      </c>
      <c r="E224" s="15" t="s">
        <v>1210</v>
      </c>
      <c r="F224" s="15" t="s">
        <v>911</v>
      </c>
      <c r="G224" s="15" t="s">
        <v>1126</v>
      </c>
      <c r="H224" s="15"/>
      <c r="I224" s="15" t="str">
        <f>"Poptávka TURTO - "&amp;A224&amp;" - "&amp;IF(F224=data!$E$1,E224&amp;" - ","")&amp;G224&amp;" - "&amp;DAY(B224)&amp;"."&amp;MONTH(B224)&amp;"."&amp;YEAR(B224)</f>
        <v>Poptávka TURTO - Peikko - Šemíkův Břeh - spojky výztuže - 18.5.2026</v>
      </c>
    </row>
    <row r="225" spans="1:9" s="14" customFormat="1" ht="30">
      <c r="A225" s="15" t="s">
        <v>940</v>
      </c>
      <c r="B225" s="17">
        <v>46159</v>
      </c>
      <c r="C225" s="17">
        <v>46160</v>
      </c>
      <c r="D225" s="15" t="s">
        <v>820</v>
      </c>
      <c r="E225" s="15" t="s">
        <v>1143</v>
      </c>
      <c r="F225" s="15" t="s">
        <v>912</v>
      </c>
      <c r="G225" s="15" t="s">
        <v>941</v>
      </c>
      <c r="H225" s="15"/>
      <c r="I225" s="15" t="str">
        <f>"Poptávka TURTO - "&amp;A225&amp;" - "&amp;IF(F225=data!$E$1,E225&amp;" - ","")&amp;G225&amp;" - "&amp;DAY(B225)&amp;"."&amp;MONTH(B225)&amp;"."&amp;YEAR(B225)</f>
        <v>Poptávka TURTO - JFP TRADE - Sylomer - 17.5.2026</v>
      </c>
    </row>
    <row r="226" spans="1:9" s="14" customFormat="1">
      <c r="A226" s="15" t="s">
        <v>889</v>
      </c>
      <c r="B226" s="17">
        <v>46159</v>
      </c>
      <c r="C226" s="17">
        <v>46160</v>
      </c>
      <c r="D226" s="15" t="s">
        <v>747</v>
      </c>
      <c r="E226" s="15" t="s">
        <v>952</v>
      </c>
      <c r="F226" s="15" t="s">
        <v>912</v>
      </c>
      <c r="G226" s="15" t="s">
        <v>907</v>
      </c>
      <c r="H226" s="15"/>
      <c r="I226" s="15" t="str">
        <f>"Poptávka TURTO - "&amp;A226&amp;" - "&amp;IF(F226=data!$E$1,E226&amp;" - ","")&amp;G226&amp;" - "&amp;DAY(B226)&amp;"."&amp;MONTH(B226)&amp;"."&amp;YEAR(B226)</f>
        <v>Poptávka TURTO - Peikko - smyková výztuž - 17.5.2026</v>
      </c>
    </row>
    <row r="227" spans="1:9" s="14" customFormat="1">
      <c r="A227" s="15" t="s">
        <v>886</v>
      </c>
      <c r="B227" s="17">
        <v>46159</v>
      </c>
      <c r="C227" s="17">
        <v>46160</v>
      </c>
      <c r="D227" s="15" t="s">
        <v>747</v>
      </c>
      <c r="E227" s="15" t="s">
        <v>952</v>
      </c>
      <c r="F227" s="15" t="s">
        <v>912</v>
      </c>
      <c r="G227" s="15" t="s">
        <v>907</v>
      </c>
      <c r="H227" s="15"/>
      <c r="I227" s="15" t="str">
        <f>"Poptávka TURTO - "&amp;A227&amp;" - "&amp;IF(F227=data!$E$1,E227&amp;" - ","")&amp;G227&amp;" - "&amp;DAY(B227)&amp;"."&amp;MONTH(B227)&amp;"."&amp;YEAR(B227)</f>
        <v>Poptávka TURTO - PohlCon - smyková výztuž - 17.5.2026</v>
      </c>
    </row>
    <row r="228" spans="1:9" s="14" customFormat="1" ht="30">
      <c r="A228" s="15" t="s">
        <v>885</v>
      </c>
      <c r="B228" s="17">
        <v>46157</v>
      </c>
      <c r="C228" s="17">
        <v>46160</v>
      </c>
      <c r="D228" s="15" t="s">
        <v>373</v>
      </c>
      <c r="E228" s="15" t="s">
        <v>1218</v>
      </c>
      <c r="F228" s="15" t="s">
        <v>911</v>
      </c>
      <c r="G228" s="15" t="s">
        <v>906</v>
      </c>
      <c r="H228" s="15"/>
      <c r="I228" s="15" t="str">
        <f>"Poptávka TURTO - "&amp;A228&amp;" - "&amp;IF(F228=data!$E$1,E228&amp;" - ","")&amp;G228&amp;" - "&amp;DAY(B228)&amp;"."&amp;MONTH(B228)&amp;"."&amp;YEAR(B228)</f>
        <v>Poptávka TURTO - Leviat - Bohutín - izolační nosníky - 15.5.2026</v>
      </c>
    </row>
    <row r="229" spans="1:9" s="14" customFormat="1" ht="30">
      <c r="A229" s="15" t="s">
        <v>885</v>
      </c>
      <c r="B229" s="17">
        <v>46157</v>
      </c>
      <c r="C229" s="17">
        <v>46157</v>
      </c>
      <c r="D229" s="15" t="s">
        <v>436</v>
      </c>
      <c r="E229" s="15" t="s">
        <v>1203</v>
      </c>
      <c r="F229" s="15" t="s">
        <v>911</v>
      </c>
      <c r="G229" s="15" t="s">
        <v>906</v>
      </c>
      <c r="H229" s="15"/>
      <c r="I229" s="15" t="str">
        <f>"Poptávka TURTO - "&amp;A229&amp;" - "&amp;IF(F229=data!$E$1,E229&amp;" - ","")&amp;G229&amp;" - "&amp;DAY(B229)&amp;"."&amp;MONTH(B229)&amp;"."&amp;YEAR(B229)</f>
        <v>Poptávka TURTO - Leviat - Rezidence Ohradní - izolační nosníky - 15.5.2026</v>
      </c>
    </row>
    <row r="230" spans="1:9" s="14" customFormat="1">
      <c r="A230" s="15" t="s">
        <v>886</v>
      </c>
      <c r="B230" s="17">
        <v>46157</v>
      </c>
      <c r="C230" s="17">
        <v>46157</v>
      </c>
      <c r="D230" s="15" t="s">
        <v>487</v>
      </c>
      <c r="E230" s="15" t="s">
        <v>1148</v>
      </c>
      <c r="F230" s="15" t="s">
        <v>912</v>
      </c>
      <c r="G230" s="15" t="s">
        <v>907</v>
      </c>
      <c r="H230" s="15"/>
      <c r="I230" s="15" t="str">
        <f>"Poptávka TURTO - "&amp;A230&amp;" - "&amp;IF(F230=data!$E$1,E230&amp;" - ","")&amp;G230&amp;" - "&amp;DAY(B230)&amp;"."&amp;MONTH(B230)&amp;"."&amp;YEAR(B230)</f>
        <v>Poptávka TURTO - PohlCon - smyková výztuž - 15.5.2026</v>
      </c>
    </row>
    <row r="231" spans="1:9" s="14" customFormat="1" ht="30">
      <c r="A231" s="15" t="s">
        <v>885</v>
      </c>
      <c r="B231" s="17">
        <v>46157</v>
      </c>
      <c r="C231" s="17">
        <v>46174</v>
      </c>
      <c r="D231" s="15" t="s">
        <v>584</v>
      </c>
      <c r="E231" s="15" t="s">
        <v>1214</v>
      </c>
      <c r="F231" s="15" t="s">
        <v>911</v>
      </c>
      <c r="G231" s="15" t="s">
        <v>906</v>
      </c>
      <c r="H231" s="15" t="s">
        <v>1256</v>
      </c>
      <c r="I231" s="15" t="str">
        <f>"Poptávka TURTO - "&amp;A231&amp;" - "&amp;IF(F231=data!$E$1,E231&amp;" - ","")&amp;G231&amp;" - "&amp;DAY(B231)&amp;"."&amp;MONTH(B231)&amp;"."&amp;YEAR(B231)</f>
        <v>Poptávka TURTO - Leviat - Hůry - izolační nosníky - 15.5.2026</v>
      </c>
    </row>
    <row r="232" spans="1:9" s="14" customFormat="1">
      <c r="A232" s="15" t="s">
        <v>886</v>
      </c>
      <c r="B232" s="17">
        <v>46157</v>
      </c>
      <c r="C232" s="17">
        <v>46157</v>
      </c>
      <c r="D232" s="15" t="s">
        <v>499</v>
      </c>
      <c r="E232" s="15" t="s">
        <v>1213</v>
      </c>
      <c r="F232" s="15" t="s">
        <v>912</v>
      </c>
      <c r="G232" s="15" t="s">
        <v>906</v>
      </c>
      <c r="H232" s="15"/>
      <c r="I232" s="15" t="str">
        <f>"Poptávka TURTO - "&amp;A232&amp;" - "&amp;IF(F232=data!$E$1,E232&amp;" - ","")&amp;G232&amp;" - "&amp;DAY(B232)&amp;"."&amp;MONTH(B232)&amp;"."&amp;YEAR(B232)</f>
        <v>Poptávka TURTO - PohlCon - izolační nosníky - 15.5.2026</v>
      </c>
    </row>
    <row r="233" spans="1:9" s="14" customFormat="1">
      <c r="A233" s="15" t="s">
        <v>885</v>
      </c>
      <c r="B233" s="17">
        <v>46156</v>
      </c>
      <c r="C233" s="17">
        <v>46174</v>
      </c>
      <c r="D233" s="15" t="s">
        <v>820</v>
      </c>
      <c r="E233" s="15" t="s">
        <v>1143</v>
      </c>
      <c r="F233" s="15" t="s">
        <v>911</v>
      </c>
      <c r="G233" s="15" t="s">
        <v>1212</v>
      </c>
      <c r="H233" s="15"/>
      <c r="I233" s="15" t="str">
        <f>"Poptávka TURTO - "&amp;A233&amp;" - "&amp;IF(F233=data!$E$1,E233&amp;" - ","")&amp;G233&amp;" - "&amp;DAY(B233)&amp;"."&amp;MONTH(B233)&amp;"."&amp;YEAR(B233)</f>
        <v>Poptávka TURTO - Leviat - Nové Vysočany - Pražírny - kolejnice - 14.5.2026</v>
      </c>
    </row>
    <row r="234" spans="1:9" s="14" customFormat="1">
      <c r="A234" s="15" t="s">
        <v>888</v>
      </c>
      <c r="B234" s="17">
        <v>46156</v>
      </c>
      <c r="C234" s="17">
        <v>46157</v>
      </c>
      <c r="D234" s="15" t="s">
        <v>577</v>
      </c>
      <c r="E234" s="15" t="s">
        <v>1191</v>
      </c>
      <c r="F234" s="15" t="s">
        <v>912</v>
      </c>
      <c r="G234" s="15" t="s">
        <v>909</v>
      </c>
      <c r="H234" s="15"/>
      <c r="I234" s="15" t="str">
        <f>"Poptávka TURTO - "&amp;A234&amp;" - "&amp;IF(F234=data!$E$1,E234&amp;" - ","")&amp;G234&amp;" - "&amp;DAY(B234)&amp;"."&amp;MONTH(B234)&amp;"."&amp;YEAR(B234)</f>
        <v>Poptávka TURTO - GeroTop - prostupy - 14.5.2026</v>
      </c>
    </row>
    <row r="235" spans="1:9" s="14" customFormat="1">
      <c r="A235" s="15" t="s">
        <v>886</v>
      </c>
      <c r="B235" s="17">
        <v>46156</v>
      </c>
      <c r="C235" s="17">
        <v>46156</v>
      </c>
      <c r="D235" s="15" t="s">
        <v>820</v>
      </c>
      <c r="E235" s="15" t="s">
        <v>1143</v>
      </c>
      <c r="F235" s="15" t="s">
        <v>912</v>
      </c>
      <c r="G235" s="15" t="s">
        <v>1211</v>
      </c>
      <c r="H235" s="15"/>
      <c r="I235" s="15" t="str">
        <f>"Poptávka TURTO - "&amp;A235&amp;" - "&amp;IF(F235=data!$E$1,E235&amp;" - ","")&amp;G235&amp;" - "&amp;DAY(B235)&amp;"."&amp;MONTH(B235)&amp;"."&amp;YEAR(B235)</f>
        <v>Poptávka TURTO - PohlCon - JGB - 14.5.2026</v>
      </c>
    </row>
    <row r="236" spans="1:9" s="14" customFormat="1">
      <c r="A236" s="15" t="s">
        <v>885</v>
      </c>
      <c r="B236" s="17">
        <v>46156</v>
      </c>
      <c r="C236" s="17">
        <v>46160</v>
      </c>
      <c r="D236" s="15" t="s">
        <v>318</v>
      </c>
      <c r="E236" s="15" t="s">
        <v>1210</v>
      </c>
      <c r="F236" s="15" t="s">
        <v>911</v>
      </c>
      <c r="G236" s="15" t="s">
        <v>1126</v>
      </c>
      <c r="H236" s="15" t="s">
        <v>1081</v>
      </c>
      <c r="I236" s="15" t="str">
        <f>"Poptávka TURTO - "&amp;A236&amp;" - "&amp;IF(F236=data!$E$1,E236&amp;" - ","")&amp;G236&amp;" - "&amp;DAY(B236)&amp;"."&amp;MONTH(B236)&amp;"."&amp;YEAR(B236)</f>
        <v>Poptávka TURTO - Leviat - Šemíkův Břeh - spojky výztuže - 14.5.2026</v>
      </c>
    </row>
    <row r="237" spans="1:9" s="14" customFormat="1" ht="30">
      <c r="A237" s="15" t="s">
        <v>1181</v>
      </c>
      <c r="B237" s="17">
        <v>46156</v>
      </c>
      <c r="C237" s="17">
        <v>46159</v>
      </c>
      <c r="D237" s="15" t="s">
        <v>635</v>
      </c>
      <c r="E237" s="15" t="s">
        <v>1208</v>
      </c>
      <c r="F237" s="15" t="s">
        <v>911</v>
      </c>
      <c r="G237" s="15" t="s">
        <v>959</v>
      </c>
      <c r="H237" s="15"/>
      <c r="I237" s="15" t="str">
        <f>"Poptávka TURTO - "&amp;A237&amp;" - "&amp;IF(F237=data!$E$1,E237&amp;" - ","")&amp;G237&amp;" - "&amp;DAY(B237)&amp;"."&amp;MONTH(B237)&amp;"."&amp;YEAR(B237)</f>
        <v>Poptávka TURTO - calenberg - Office Hybernská - vibroizolace - 14.5.2026</v>
      </c>
    </row>
    <row r="238" spans="1:9" s="14" customFormat="1" ht="30">
      <c r="A238" s="15" t="s">
        <v>885</v>
      </c>
      <c r="B238" s="17">
        <v>46156</v>
      </c>
      <c r="C238" s="17">
        <v>46175</v>
      </c>
      <c r="D238" s="15" t="s">
        <v>820</v>
      </c>
      <c r="E238" s="15" t="s">
        <v>1143</v>
      </c>
      <c r="F238" s="15" t="s">
        <v>911</v>
      </c>
      <c r="G238" s="15" t="s">
        <v>906</v>
      </c>
      <c r="H238" s="15"/>
      <c r="I238" s="15" t="str">
        <f>"Poptávka TURTO - "&amp;A238&amp;" - "&amp;IF(F238=data!$E$1,E238&amp;" - ","")&amp;G238&amp;" - "&amp;DAY(B238)&amp;"."&amp;MONTH(B238)&amp;"."&amp;YEAR(B238)</f>
        <v>Poptávka TURTO - Leviat - Nové Vysočany - Pražírny - izolační nosníky - 14.5.2026</v>
      </c>
    </row>
    <row r="239" spans="1:9" s="14" customFormat="1" ht="30">
      <c r="A239" s="15" t="s">
        <v>1181</v>
      </c>
      <c r="B239" s="17">
        <v>46156</v>
      </c>
      <c r="C239" s="17">
        <v>46159</v>
      </c>
      <c r="D239" s="15" t="s">
        <v>820</v>
      </c>
      <c r="E239" s="15" t="s">
        <v>1143</v>
      </c>
      <c r="F239" s="15" t="s">
        <v>911</v>
      </c>
      <c r="G239" s="15" t="s">
        <v>959</v>
      </c>
      <c r="H239" s="15"/>
      <c r="I239" s="15" t="str">
        <f>"Poptávka TURTO - "&amp;A239&amp;" - "&amp;IF(F239=data!$E$1,E239&amp;" - ","")&amp;G239&amp;" - "&amp;DAY(B239)&amp;"."&amp;MONTH(B239)&amp;"."&amp;YEAR(B239)</f>
        <v>Poptávka TURTO - calenberg - Nové Vysočany - Pražírny - vibroizolace - 14.5.2026</v>
      </c>
    </row>
    <row r="240" spans="1:9" s="14" customFormat="1">
      <c r="A240" s="15" t="s">
        <v>886</v>
      </c>
      <c r="B240" s="17">
        <v>46156</v>
      </c>
      <c r="C240" s="17">
        <v>46156</v>
      </c>
      <c r="D240" s="15" t="s">
        <v>487</v>
      </c>
      <c r="E240" s="15" t="s">
        <v>1206</v>
      </c>
      <c r="F240" s="15" t="s">
        <v>912</v>
      </c>
      <c r="G240" s="15" t="s">
        <v>907</v>
      </c>
      <c r="H240" s="15"/>
      <c r="I240" s="15" t="str">
        <f>"Poptávka TURTO - "&amp;A240&amp;" - "&amp;IF(F240=data!$E$1,E240&amp;" - ","")&amp;G240&amp;" - "&amp;DAY(B240)&amp;"."&amp;MONTH(B240)&amp;"."&amp;YEAR(B240)</f>
        <v>Poptávka TURTO - PohlCon - smyková výztuž - 14.5.2026</v>
      </c>
    </row>
    <row r="241" spans="1:9" s="14" customFormat="1" ht="30">
      <c r="A241" s="15" t="s">
        <v>885</v>
      </c>
      <c r="B241" s="17">
        <v>46155</v>
      </c>
      <c r="C241" s="17">
        <v>46156</v>
      </c>
      <c r="D241" s="15" t="s">
        <v>97</v>
      </c>
      <c r="E241" s="15" t="s">
        <v>1205</v>
      </c>
      <c r="F241" s="15" t="s">
        <v>911</v>
      </c>
      <c r="G241" s="15" t="s">
        <v>906</v>
      </c>
      <c r="H241" s="15"/>
      <c r="I241" s="15" t="str">
        <f>"Poptávka TURTO - "&amp;A241&amp;" - "&amp;IF(F241=data!$E$1,E241&amp;" - ","")&amp;G241&amp;" - "&amp;DAY(B241)&amp;"."&amp;MONTH(B241)&amp;"."&amp;YEAR(B241)</f>
        <v>Poptávka TURTO - Leviat - Vila Roque - izolační nosníky - 13.5.2026</v>
      </c>
    </row>
    <row r="242" spans="1:9" s="14" customFormat="1">
      <c r="A242" s="15" t="s">
        <v>889</v>
      </c>
      <c r="B242" s="17">
        <v>46155</v>
      </c>
      <c r="C242" s="17">
        <v>46156</v>
      </c>
      <c r="D242" s="15" t="s">
        <v>487</v>
      </c>
      <c r="E242" s="15" t="s">
        <v>1148</v>
      </c>
      <c r="F242" s="15" t="s">
        <v>912</v>
      </c>
      <c r="G242" s="15" t="s">
        <v>907</v>
      </c>
      <c r="H242" s="15"/>
      <c r="I242" s="15" t="str">
        <f>"Poptávka TURTO - "&amp;A242&amp;" - "&amp;IF(F242=data!$E$1,E242&amp;" - ","")&amp;G242&amp;" - "&amp;DAY(B242)&amp;"."&amp;MONTH(B242)&amp;"."&amp;YEAR(B242)</f>
        <v>Poptávka TURTO - Peikko - smyková výztuž - 13.5.2026</v>
      </c>
    </row>
    <row r="243" spans="1:9" s="14" customFormat="1">
      <c r="A243" s="15" t="s">
        <v>885</v>
      </c>
      <c r="B243" s="17">
        <v>46155</v>
      </c>
      <c r="C243" s="17">
        <v>46156</v>
      </c>
      <c r="D243" s="15" t="s">
        <v>386</v>
      </c>
      <c r="E243" s="15" t="s">
        <v>1204</v>
      </c>
      <c r="F243" s="15" t="s">
        <v>911</v>
      </c>
      <c r="G243" s="15" t="s">
        <v>906</v>
      </c>
      <c r="H243" s="15"/>
      <c r="I243" s="15" t="str">
        <f>"Poptávka TURTO - "&amp;A243&amp;" - "&amp;IF(F243=data!$E$1,E243&amp;" - ","")&amp;G243&amp;" - "&amp;DAY(B243)&amp;"."&amp;MONTH(B243)&amp;"."&amp;YEAR(B243)</f>
        <v>Poptávka TURTO - Leviat - BD Olomouc objekt B - izolační nosníky - 13.5.2026</v>
      </c>
    </row>
    <row r="244" spans="1:9" s="14" customFormat="1" ht="30">
      <c r="A244" s="15" t="s">
        <v>886</v>
      </c>
      <c r="B244" s="17">
        <v>46155</v>
      </c>
      <c r="C244" s="17">
        <v>46156</v>
      </c>
      <c r="D244" s="15" t="s">
        <v>436</v>
      </c>
      <c r="E244" s="15" t="s">
        <v>1203</v>
      </c>
      <c r="F244" s="15" t="s">
        <v>912</v>
      </c>
      <c r="G244" s="15" t="s">
        <v>907</v>
      </c>
      <c r="H244" s="15"/>
      <c r="I244" s="15" t="str">
        <f>"Poptávka TURTO - "&amp;A244&amp;" - "&amp;IF(F244=data!$E$1,E244&amp;" - ","")&amp;G244&amp;" - "&amp;DAY(B244)&amp;"."&amp;MONTH(B244)&amp;"."&amp;YEAR(B244)</f>
        <v>Poptávka TURTO - PohlCon - smyková výztuž - 13.5.2026</v>
      </c>
    </row>
    <row r="245" spans="1:9" s="14" customFormat="1" ht="30">
      <c r="A245" s="15" t="s">
        <v>1181</v>
      </c>
      <c r="B245" s="17">
        <v>46154</v>
      </c>
      <c r="C245" s="17">
        <v>46155</v>
      </c>
      <c r="D245" s="15" t="s">
        <v>301</v>
      </c>
      <c r="E245" s="15" t="s">
        <v>1198</v>
      </c>
      <c r="F245" s="15" t="s">
        <v>911</v>
      </c>
      <c r="G245" s="15" t="s">
        <v>959</v>
      </c>
      <c r="H245" s="15"/>
      <c r="I245" s="15" t="str">
        <f>"Poptávka TURTO - "&amp;A245&amp;" - "&amp;IF(F245=data!$E$1,E245&amp;" - ","")&amp;G245&amp;" - "&amp;DAY(B245)&amp;"."&amp;MONTH(B245)&amp;"."&amp;YEAR(B245)</f>
        <v>Poptávka TURTO - calenberg - Petynka - vibroizolace - 12.5.2026</v>
      </c>
    </row>
    <row r="246" spans="1:9" s="14" customFormat="1" ht="30">
      <c r="A246" s="15" t="s">
        <v>885</v>
      </c>
      <c r="B246" s="17">
        <v>46154</v>
      </c>
      <c r="C246" s="17">
        <v>46155</v>
      </c>
      <c r="D246" s="15" t="s">
        <v>577</v>
      </c>
      <c r="E246" s="15" t="s">
        <v>1150</v>
      </c>
      <c r="F246" s="15" t="s">
        <v>911</v>
      </c>
      <c r="G246" s="15" t="s">
        <v>906</v>
      </c>
      <c r="H246" s="15"/>
      <c r="I246" s="15" t="str">
        <f>"Poptávka TURTO - "&amp;A246&amp;" - "&amp;IF(F246=data!$E$1,E246&amp;" - ","")&amp;G246&amp;" - "&amp;DAY(B246)&amp;"."&amp;MONTH(B246)&amp;"."&amp;YEAR(B246)</f>
        <v>Poptávka TURTO - Leviat - BD U Pivovaru II - Benešov - izolační nosníky - 12.5.2026</v>
      </c>
    </row>
    <row r="247" spans="1:9" s="14" customFormat="1" ht="30">
      <c r="A247" s="15" t="s">
        <v>885</v>
      </c>
      <c r="B247" s="17">
        <v>46154</v>
      </c>
      <c r="C247" s="17">
        <v>46155</v>
      </c>
      <c r="D247" s="15" t="s">
        <v>97</v>
      </c>
      <c r="E247" s="15" t="s">
        <v>1195</v>
      </c>
      <c r="F247" s="15" t="s">
        <v>911</v>
      </c>
      <c r="G247" s="15" t="s">
        <v>906</v>
      </c>
      <c r="H247" s="15"/>
      <c r="I247" s="15" t="str">
        <f>"Poptávka TURTO - "&amp;A247&amp;" - "&amp;IF(F247=data!$E$1,E247&amp;" - ","")&amp;G247&amp;" - "&amp;DAY(B247)&amp;"."&amp;MONTH(B247)&amp;"."&amp;YEAR(B247)</f>
        <v>Poptávka TURTO - Leviat - RO Tuklatská - izolační nosníky - 12.5.2026</v>
      </c>
    </row>
    <row r="248" spans="1:9" s="14" customFormat="1" ht="30">
      <c r="A248" s="15" t="s">
        <v>886</v>
      </c>
      <c r="B248" s="17">
        <v>46153</v>
      </c>
      <c r="C248" s="17">
        <v>46154</v>
      </c>
      <c r="D248" s="15" t="s">
        <v>97</v>
      </c>
      <c r="E248" s="15" t="s">
        <v>1195</v>
      </c>
      <c r="F248" s="15" t="s">
        <v>912</v>
      </c>
      <c r="G248" s="15" t="s">
        <v>1177</v>
      </c>
      <c r="H248" s="15"/>
      <c r="I248" s="15" t="str">
        <f>"Poptávka TURTO - "&amp;A248&amp;" - "&amp;IF(F248=data!$E$1,E248&amp;" - ","")&amp;G248&amp;" - "&amp;DAY(B248)&amp;"."&amp;MONTH(B248)&amp;"."&amp;YEAR(B248)</f>
        <v>Poptávka TURTO - PohlCon - plech ABS - 11.5.2026</v>
      </c>
    </row>
    <row r="249" spans="1:9" s="14" customFormat="1" ht="30">
      <c r="A249" s="15" t="s">
        <v>885</v>
      </c>
      <c r="B249" s="17">
        <v>46153</v>
      </c>
      <c r="C249" s="17">
        <v>46154</v>
      </c>
      <c r="D249" s="15" t="s">
        <v>175</v>
      </c>
      <c r="E249" s="15" t="s">
        <v>1194</v>
      </c>
      <c r="F249" s="15" t="s">
        <v>911</v>
      </c>
      <c r="G249" s="15" t="s">
        <v>906</v>
      </c>
      <c r="H249" s="15"/>
      <c r="I249" s="15" t="str">
        <f>"Poptávka TURTO - "&amp;A249&amp;" - "&amp;IF(F249=data!$E$1,E249&amp;" - ","")&amp;G249&amp;" - "&amp;DAY(B249)&amp;"."&amp;MONTH(B249)&amp;"."&amp;YEAR(B249)</f>
        <v>Poptávka TURTO - Leviat - BD Kbely - izolační nosníky - 11.5.2026</v>
      </c>
    </row>
    <row r="250" spans="1:9" s="14" customFormat="1" ht="30">
      <c r="A250" s="15" t="s">
        <v>890</v>
      </c>
      <c r="B250" s="17">
        <v>46153</v>
      </c>
      <c r="C250" s="17">
        <v>46153</v>
      </c>
      <c r="D250" s="15" t="s">
        <v>264</v>
      </c>
      <c r="E250" s="15" t="s">
        <v>993</v>
      </c>
      <c r="F250" s="15" t="s">
        <v>912</v>
      </c>
      <c r="G250" s="15" t="s">
        <v>908</v>
      </c>
      <c r="H250" s="15"/>
      <c r="I250" s="15" t="str">
        <f>"Poptávka TURTO - "&amp;A250&amp;" - "&amp;IF(F250=data!$E$1,E250&amp;" - ","")&amp;G250&amp;" - "&amp;DAY(B250)&amp;"."&amp;MONTH(B250)&amp;"."&amp;YEAR(B250)</f>
        <v>Poptávka TURTO - Pro-Doma - lenton spojky - 11.5.2026</v>
      </c>
    </row>
    <row r="251" spans="1:9" s="14" customFormat="1">
      <c r="A251" s="15" t="s">
        <v>889</v>
      </c>
      <c r="B251" s="17">
        <v>46153</v>
      </c>
      <c r="C251" s="17">
        <v>46153</v>
      </c>
      <c r="D251" s="15" t="s">
        <v>125</v>
      </c>
      <c r="E251" s="15" t="s">
        <v>1196</v>
      </c>
      <c r="F251" s="15" t="s">
        <v>912</v>
      </c>
      <c r="G251" s="15" t="s">
        <v>907</v>
      </c>
      <c r="H251" s="15"/>
      <c r="I251" s="15" t="str">
        <f>"Poptávka TURTO - "&amp;A251&amp;" - "&amp;IF(F251=data!$E$1,E251&amp;" - ","")&amp;G251&amp;" - "&amp;DAY(B251)&amp;"."&amp;MONTH(B251)&amp;"."&amp;YEAR(B251)</f>
        <v>Poptávka TURTO - Peikko - smyková výztuž - 11.5.2026</v>
      </c>
    </row>
    <row r="252" spans="1:9" s="14" customFormat="1">
      <c r="A252" s="15" t="s">
        <v>886</v>
      </c>
      <c r="B252" s="17">
        <v>46153</v>
      </c>
      <c r="C252" s="17">
        <v>46154</v>
      </c>
      <c r="D252" s="15" t="s">
        <v>125</v>
      </c>
      <c r="E252" s="15" t="s">
        <v>1196</v>
      </c>
      <c r="F252" s="15" t="s">
        <v>912</v>
      </c>
      <c r="G252" s="15" t="s">
        <v>907</v>
      </c>
      <c r="H252" s="15"/>
      <c r="I252" s="15" t="str">
        <f>"Poptávka TURTO - "&amp;A252&amp;" - "&amp;IF(F252=data!$E$1,E252&amp;" - ","")&amp;G252&amp;" - "&amp;DAY(B252)&amp;"."&amp;MONTH(B252)&amp;"."&amp;YEAR(B252)</f>
        <v>Poptávka TURTO - PohlCon - smyková výztuž - 11.5.2026</v>
      </c>
    </row>
    <row r="253" spans="1:9" s="14" customFormat="1">
      <c r="A253" s="15" t="s">
        <v>885</v>
      </c>
      <c r="B253" s="17">
        <v>46153</v>
      </c>
      <c r="C253" s="17">
        <v>46157</v>
      </c>
      <c r="D253" s="15" t="s">
        <v>761</v>
      </c>
      <c r="E253" s="15" t="s">
        <v>1193</v>
      </c>
      <c r="F253" s="15" t="s">
        <v>911</v>
      </c>
      <c r="G253" s="15" t="s">
        <v>906</v>
      </c>
      <c r="H253" s="15"/>
      <c r="I253" s="15" t="str">
        <f>"Poptávka TURTO - "&amp;A253&amp;" - "&amp;IF(F253=data!$E$1,E253&amp;" - ","")&amp;G253&amp;" - "&amp;DAY(B253)&amp;"."&amp;MONTH(B253)&amp;"."&amp;YEAR(B253)</f>
        <v>Poptávka TURTO - Leviat - Vila Garden - izolační nosníky - 11.5.2026</v>
      </c>
    </row>
    <row r="254" spans="1:9" s="14" customFormat="1" ht="30">
      <c r="A254" s="15" t="s">
        <v>940</v>
      </c>
      <c r="B254" s="17">
        <v>46153</v>
      </c>
      <c r="C254" s="17">
        <v>46153</v>
      </c>
      <c r="D254" s="15" t="s">
        <v>577</v>
      </c>
      <c r="E254" s="15" t="s">
        <v>1191</v>
      </c>
      <c r="F254" s="15" t="s">
        <v>912</v>
      </c>
      <c r="G254" s="15" t="s">
        <v>941</v>
      </c>
      <c r="H254" s="15"/>
      <c r="I254" s="15" t="str">
        <f>"Poptávka TURTO - "&amp;A254&amp;" - "&amp;IF(F254=data!$E$1,E254&amp;" - ","")&amp;G254&amp;" - "&amp;DAY(B254)&amp;"."&amp;MONTH(B254)&amp;"."&amp;YEAR(B254)</f>
        <v>Poptávka TURTO - JFP TRADE - Sylomer - 11.5.2026</v>
      </c>
    </row>
    <row r="255" spans="1:9" s="14" customFormat="1">
      <c r="A255" s="15" t="s">
        <v>886</v>
      </c>
      <c r="B255" s="17">
        <v>46149</v>
      </c>
      <c r="C255" s="17">
        <v>46154</v>
      </c>
      <c r="D255" s="15" t="s">
        <v>269</v>
      </c>
      <c r="E255" s="15" t="s">
        <v>1119</v>
      </c>
      <c r="F255" s="15" t="s">
        <v>912</v>
      </c>
      <c r="G255" s="15" t="s">
        <v>64</v>
      </c>
      <c r="H255" s="15"/>
      <c r="I255" s="15" t="str">
        <f>"Poptávka TURTO - "&amp;A255&amp;" - "&amp;IF(F255=data!$E$1,E255&amp;" - ","")&amp;G255&amp;" - "&amp;DAY(B255)&amp;"."&amp;MONTH(B255)&amp;"."&amp;YEAR(B255)</f>
        <v>Poptávka TURTO - PohlCon - smykové trny - 7.5.2026</v>
      </c>
    </row>
    <row r="256" spans="1:9" s="14" customFormat="1">
      <c r="A256" s="15" t="s">
        <v>885</v>
      </c>
      <c r="B256" s="17">
        <v>46149</v>
      </c>
      <c r="C256" s="17">
        <v>46162</v>
      </c>
      <c r="D256" s="15" t="s">
        <v>653</v>
      </c>
      <c r="E256" s="15" t="s">
        <v>1188</v>
      </c>
      <c r="F256" s="15" t="s">
        <v>911</v>
      </c>
      <c r="G256" s="15" t="s">
        <v>906</v>
      </c>
      <c r="H256" s="15"/>
      <c r="I256" s="15" t="str">
        <f>"Poptávka TURTO - "&amp;A256&amp;" - "&amp;IF(F256=data!$E$1,E256&amp;" - ","")&amp;G256&amp;" - "&amp;DAY(B256)&amp;"."&amp;MONTH(B256)&amp;"."&amp;YEAR(B256)</f>
        <v>Poptávka TURTO - Leviat - BD Libeň - izolační nosníky - 7.5.2026</v>
      </c>
    </row>
    <row r="257" spans="1:9" s="14" customFormat="1" ht="30">
      <c r="A257" s="15" t="s">
        <v>885</v>
      </c>
      <c r="B257" s="17">
        <v>46149</v>
      </c>
      <c r="C257" s="17">
        <v>46149</v>
      </c>
      <c r="D257" s="15" t="s">
        <v>475</v>
      </c>
      <c r="E257" s="15" t="s">
        <v>951</v>
      </c>
      <c r="F257" s="15" t="s">
        <v>911</v>
      </c>
      <c r="G257" s="15" t="s">
        <v>1163</v>
      </c>
      <c r="H257" s="15"/>
      <c r="I257" s="15" t="str">
        <f>"Poptávka TURTO - "&amp;A257&amp;" - "&amp;IF(F257=data!$E$1,E257&amp;" - ","")&amp;G257&amp;" - "&amp;DAY(B257)&amp;"."&amp;MONTH(B257)&amp;"."&amp;YEAR(B257)</f>
        <v>Poptávka TURTO - Leviat - BD 11 Máchovna - HTA - 7.5.2026</v>
      </c>
    </row>
    <row r="258" spans="1:9" s="14" customFormat="1">
      <c r="A258" s="15" t="s">
        <v>885</v>
      </c>
      <c r="B258" s="17">
        <v>46148</v>
      </c>
      <c r="C258" s="17">
        <v>46149</v>
      </c>
      <c r="D258" s="15" t="s">
        <v>318</v>
      </c>
      <c r="E258" s="15" t="s">
        <v>938</v>
      </c>
      <c r="F258" s="15" t="s">
        <v>911</v>
      </c>
      <c r="G258" s="15" t="s">
        <v>906</v>
      </c>
      <c r="H258" s="15"/>
      <c r="I258" s="15" t="str">
        <f>"Poptávka TURTO - "&amp;A258&amp;" - "&amp;IF(F258=data!$E$1,E258&amp;" - ","")&amp;G258&amp;" - "&amp;DAY(B258)&amp;"."&amp;MONTH(B258)&amp;"."&amp;YEAR(B258)</f>
        <v>Poptávka TURTO - Leviat - BD Světova - izolační nosníky - 6.5.2026</v>
      </c>
    </row>
    <row r="259" spans="1:9" s="14" customFormat="1">
      <c r="A259" s="15" t="s">
        <v>885</v>
      </c>
      <c r="B259" s="17">
        <v>46148</v>
      </c>
      <c r="C259" s="17">
        <v>46149</v>
      </c>
      <c r="D259" s="15" t="s">
        <v>592</v>
      </c>
      <c r="E259" s="15" t="s">
        <v>1100</v>
      </c>
      <c r="F259" s="15" t="s">
        <v>911</v>
      </c>
      <c r="G259" s="15" t="s">
        <v>906</v>
      </c>
      <c r="H259" s="15"/>
      <c r="I259" s="15" t="str">
        <f>"Poptávka TURTO - "&amp;A259&amp;" - "&amp;IF(F259=data!$E$1,E259&amp;" - ","")&amp;G259&amp;" - "&amp;DAY(B259)&amp;"."&amp;MONTH(B259)&amp;"."&amp;YEAR(B259)</f>
        <v>Poptávka TURTO - Leviat - akce neznámá - izolační nosníky - 6.5.2026</v>
      </c>
    </row>
    <row r="260" spans="1:9" s="14" customFormat="1" ht="30">
      <c r="A260" s="15" t="s">
        <v>885</v>
      </c>
      <c r="B260" s="17">
        <v>46148</v>
      </c>
      <c r="C260" s="17">
        <v>46149</v>
      </c>
      <c r="D260" s="15" t="s">
        <v>284</v>
      </c>
      <c r="E260" s="15" t="s">
        <v>1186</v>
      </c>
      <c r="F260" s="15" t="s">
        <v>911</v>
      </c>
      <c r="G260" s="15" t="s">
        <v>906</v>
      </c>
      <c r="H260" s="15" t="s">
        <v>1190</v>
      </c>
      <c r="I260" s="15" t="str">
        <f>"Poptávka TURTO - "&amp;A260&amp;" - "&amp;IF(F260=data!$E$1,E260&amp;" - ","")&amp;G260&amp;" - "&amp;DAY(B260)&amp;"."&amp;MONTH(B260)&amp;"."&amp;YEAR(B260)</f>
        <v>Poptávka TURTO - Leviat - Za Univerzitou - izolační nosníky - 6.5.2026</v>
      </c>
    </row>
    <row r="261" spans="1:9" s="14" customFormat="1" ht="30">
      <c r="A261" s="15" t="s">
        <v>885</v>
      </c>
      <c r="B261" s="17">
        <v>46147</v>
      </c>
      <c r="C261" s="17">
        <v>46148</v>
      </c>
      <c r="D261" s="15" t="s">
        <v>284</v>
      </c>
      <c r="E261" s="15" t="s">
        <v>1186</v>
      </c>
      <c r="F261" s="15" t="s">
        <v>911</v>
      </c>
      <c r="G261" s="15" t="s">
        <v>906</v>
      </c>
      <c r="H261" s="15"/>
      <c r="I261" s="15" t="str">
        <f>"Poptávka TURTO - "&amp;A261&amp;" - "&amp;IF(F261=data!$E$1,E261&amp;" - ","")&amp;G261&amp;" - "&amp;DAY(B261)&amp;"."&amp;MONTH(B261)&amp;"."&amp;YEAR(B261)</f>
        <v>Poptávka TURTO - Leviat - Za Univerzitou - izolační nosníky - 5.5.2026</v>
      </c>
    </row>
    <row r="262" spans="1:9" s="14" customFormat="1" ht="30">
      <c r="A262" s="15" t="s">
        <v>885</v>
      </c>
      <c r="B262" s="17">
        <v>46147</v>
      </c>
      <c r="C262" s="17">
        <v>46148</v>
      </c>
      <c r="D262" s="15" t="s">
        <v>494</v>
      </c>
      <c r="E262" s="15" t="s">
        <v>1084</v>
      </c>
      <c r="F262" s="15" t="s">
        <v>911</v>
      </c>
      <c r="G262" s="15" t="s">
        <v>906</v>
      </c>
      <c r="H262" s="15"/>
      <c r="I262" s="15" t="str">
        <f>"Poptávka TURTO - "&amp;A262&amp;" - "&amp;IF(F262=data!$E$1,E262&amp;" - ","")&amp;G262&amp;" - "&amp;DAY(B262)&amp;"."&amp;MONTH(B262)&amp;"."&amp;YEAR(B262)</f>
        <v>Poptávka TURTO - Leviat - Chelčického - izolační nosníky - 5.5.2026</v>
      </c>
    </row>
    <row r="263" spans="1:9" s="14" customFormat="1">
      <c r="A263" s="15" t="s">
        <v>886</v>
      </c>
      <c r="B263" s="17">
        <v>46147</v>
      </c>
      <c r="C263" s="17">
        <v>46147</v>
      </c>
      <c r="D263" s="15" t="s">
        <v>125</v>
      </c>
      <c r="E263" s="15" t="s">
        <v>1184</v>
      </c>
      <c r="F263" s="15" t="s">
        <v>912</v>
      </c>
      <c r="G263" s="15" t="s">
        <v>907</v>
      </c>
      <c r="H263" s="15"/>
      <c r="I263" s="15" t="str">
        <f>"Poptávka TURTO - "&amp;A263&amp;" - "&amp;IF(F263=data!$E$1,E263&amp;" - ","")&amp;G263&amp;" - "&amp;DAY(B263)&amp;"."&amp;MONTH(B263)&amp;"."&amp;YEAR(B263)</f>
        <v>Poptávka TURTO - PohlCon - smyková výztuž - 5.5.2026</v>
      </c>
    </row>
    <row r="264" spans="1:9" s="14" customFormat="1">
      <c r="A264" s="15" t="s">
        <v>885</v>
      </c>
      <c r="B264" s="17">
        <v>46146</v>
      </c>
      <c r="C264" s="17">
        <v>46147</v>
      </c>
      <c r="D264" s="15" t="s">
        <v>487</v>
      </c>
      <c r="E264" s="15" t="s">
        <v>1171</v>
      </c>
      <c r="F264" s="15" t="s">
        <v>911</v>
      </c>
      <c r="G264" s="15" t="s">
        <v>906</v>
      </c>
      <c r="H264" s="15"/>
      <c r="I264" s="15" t="str">
        <f>"Poptávka TURTO - "&amp;A264&amp;" - "&amp;IF(F264=data!$E$1,E264&amp;" - ","")&amp;G264&amp;" - "&amp;DAY(B264)&amp;"."&amp;MONTH(B264)&amp;"."&amp;YEAR(B264)</f>
        <v>Poptávka TURTO - Leviat - Nový Rohan E6 - izolační nosníky - 4.5.2026</v>
      </c>
    </row>
    <row r="265" spans="1:9" s="14" customFormat="1" ht="30">
      <c r="A265" s="15" t="s">
        <v>885</v>
      </c>
      <c r="B265" s="17">
        <v>46146</v>
      </c>
      <c r="C265" s="17">
        <v>46146</v>
      </c>
      <c r="D265" s="15" t="s">
        <v>760</v>
      </c>
      <c r="E265" s="15" t="s">
        <v>1091</v>
      </c>
      <c r="F265" s="15" t="s">
        <v>911</v>
      </c>
      <c r="G265" s="15" t="s">
        <v>906</v>
      </c>
      <c r="H265" s="15"/>
      <c r="I265" s="15" t="str">
        <f>"Poptávka TURTO - "&amp;A265&amp;" - "&amp;IF(F265=data!$E$1,E265&amp;" - ","")&amp;G265&amp;" - "&amp;DAY(B265)&amp;"."&amp;MONTH(B265)&amp;"."&amp;YEAR(B265)</f>
        <v>Poptávka TURTO - Leviat - Víceúčelová budova Úvalská - izolační nosníky - 4.5.2026</v>
      </c>
    </row>
    <row r="266" spans="1:9" s="14" customFormat="1" ht="30">
      <c r="A266" s="15" t="s">
        <v>886</v>
      </c>
      <c r="B266" s="17">
        <v>46141</v>
      </c>
      <c r="C266" s="17">
        <v>46147</v>
      </c>
      <c r="D266" s="15" t="s">
        <v>760</v>
      </c>
      <c r="E266" s="15" t="s">
        <v>1091</v>
      </c>
      <c r="F266" s="15" t="s">
        <v>911</v>
      </c>
      <c r="G266" s="15" t="s">
        <v>907</v>
      </c>
      <c r="H266" s="15"/>
      <c r="I266" s="15" t="str">
        <f>"Poptávka TURTO - "&amp;A266&amp;" - "&amp;IF(F266=data!$E$1,E266&amp;" - ","")&amp;G266&amp;" - "&amp;DAY(B266)&amp;"."&amp;MONTH(B266)&amp;"."&amp;YEAR(B266)</f>
        <v>Poptávka TURTO - PohlCon - Víceúčelová budova Úvalská - smyková výztuž - 29.4.2026</v>
      </c>
    </row>
    <row r="267" spans="1:9" s="14" customFormat="1">
      <c r="A267" s="15" t="s">
        <v>889</v>
      </c>
      <c r="B267" s="17">
        <v>46141</v>
      </c>
      <c r="C267" s="17">
        <v>46141</v>
      </c>
      <c r="D267" s="15" t="s">
        <v>578</v>
      </c>
      <c r="E267" s="15" t="s">
        <v>1179</v>
      </c>
      <c r="F267" s="15" t="s">
        <v>912</v>
      </c>
      <c r="G267" s="15" t="s">
        <v>1126</v>
      </c>
      <c r="H267" s="15"/>
      <c r="I267" s="15" t="str">
        <f>"Poptávka TURTO - "&amp;A267&amp;" - "&amp;IF(F267=data!$E$1,E267&amp;" - ","")&amp;G267&amp;" - "&amp;DAY(B267)&amp;"."&amp;MONTH(B267)&amp;"."&amp;YEAR(B267)</f>
        <v>Poptávka TURTO - Peikko - spojky výztuže - 29.4.2026</v>
      </c>
    </row>
    <row r="268" spans="1:9" s="14" customFormat="1" ht="30">
      <c r="A268" s="15" t="s">
        <v>886</v>
      </c>
      <c r="B268" s="17">
        <v>46141</v>
      </c>
      <c r="C268" s="17">
        <v>46148</v>
      </c>
      <c r="D268" s="15" t="s">
        <v>760</v>
      </c>
      <c r="E268" s="15" t="s">
        <v>1091</v>
      </c>
      <c r="F268" s="15" t="s">
        <v>911</v>
      </c>
      <c r="G268" s="15" t="s">
        <v>1048</v>
      </c>
      <c r="H268" s="15"/>
      <c r="I268" s="15" t="str">
        <f>"Poptávka TURTO - "&amp;A268&amp;" - "&amp;IF(F268=data!$E$1,E268&amp;" - ","")&amp;G268&amp;" - "&amp;DAY(B268)&amp;"."&amp;MONTH(B268)&amp;"."&amp;YEAR(B268)</f>
        <v>Poptávka TURTO - PohlCon - Víceúčelová budova Úvalská - SINTON Q - 29.4.2026</v>
      </c>
    </row>
    <row r="269" spans="1:9" s="14" customFormat="1" ht="30">
      <c r="A269" s="15" t="s">
        <v>940</v>
      </c>
      <c r="B269" s="17">
        <v>46141</v>
      </c>
      <c r="C269" s="17">
        <v>46141</v>
      </c>
      <c r="D269" s="15" t="s">
        <v>269</v>
      </c>
      <c r="E269" s="15" t="s">
        <v>977</v>
      </c>
      <c r="F269" s="15" t="s">
        <v>912</v>
      </c>
      <c r="G269" s="15" t="s">
        <v>941</v>
      </c>
      <c r="H269" s="15"/>
      <c r="I269" s="15" t="str">
        <f>"Poptávka TURTO - "&amp;A269&amp;" - "&amp;IF(F269=data!$E$1,E269&amp;" - ","")&amp;G269&amp;" - "&amp;DAY(B269)&amp;"."&amp;MONTH(B269)&amp;"."&amp;YEAR(B269)</f>
        <v>Poptávka TURTO - JFP TRADE - Sylomer - 29.4.2026</v>
      </c>
    </row>
    <row r="270" spans="1:9" s="14" customFormat="1" ht="30">
      <c r="A270" s="15" t="s">
        <v>1181</v>
      </c>
      <c r="B270" s="17">
        <v>46141</v>
      </c>
      <c r="C270" s="17">
        <v>46141</v>
      </c>
      <c r="D270" s="15" t="s">
        <v>269</v>
      </c>
      <c r="E270" s="15" t="s">
        <v>977</v>
      </c>
      <c r="F270" s="15" t="s">
        <v>911</v>
      </c>
      <c r="G270" s="15" t="s">
        <v>959</v>
      </c>
      <c r="H270" s="15"/>
      <c r="I270" s="15" t="str">
        <f>"Poptávka TURTO - "&amp;A270&amp;" - "&amp;IF(F270=data!$E$1,E270&amp;" - ","")&amp;G270&amp;" - "&amp;DAY(B270)&amp;"."&amp;MONTH(B270)&amp;"."&amp;YEAR(B270)</f>
        <v>Poptávka TURTO - calenberg - Smíchov City - vibroizolace - 29.4.2026</v>
      </c>
    </row>
    <row r="271" spans="1:9" s="14" customFormat="1">
      <c r="A271" s="15" t="s">
        <v>885</v>
      </c>
      <c r="B271" s="17">
        <v>46140</v>
      </c>
      <c r="C271" s="17">
        <v>46142</v>
      </c>
      <c r="D271" s="15" t="s">
        <v>653</v>
      </c>
      <c r="E271" s="15" t="s">
        <v>1172</v>
      </c>
      <c r="F271" s="15" t="s">
        <v>911</v>
      </c>
      <c r="G271" s="15" t="s">
        <v>906</v>
      </c>
      <c r="H271" s="15"/>
      <c r="I271" s="15" t="str">
        <f>"Poptávka TURTO - "&amp;A271&amp;" - "&amp;IF(F271=data!$E$1,E271&amp;" - ","")&amp;G271&amp;" - "&amp;DAY(B271)&amp;"."&amp;MONTH(B271)&amp;"."&amp;YEAR(B271)</f>
        <v>Poptávka TURTO - Leviat - Lochkov towers - izolační nosníky - 28.4.2026</v>
      </c>
    </row>
    <row r="272" spans="1:9" s="14" customFormat="1" ht="30">
      <c r="A272" s="15" t="s">
        <v>886</v>
      </c>
      <c r="B272" s="17">
        <v>46140</v>
      </c>
      <c r="C272" s="17">
        <v>46140</v>
      </c>
      <c r="D272" s="15" t="s">
        <v>195</v>
      </c>
      <c r="E272" s="15" t="s">
        <v>1180</v>
      </c>
      <c r="F272" s="15" t="s">
        <v>912</v>
      </c>
      <c r="G272" s="15" t="s">
        <v>906</v>
      </c>
      <c r="H272" s="15"/>
      <c r="I272" s="15" t="str">
        <f>"Poptávka TURTO - "&amp;A272&amp;" - "&amp;IF(F272=data!$E$1,E272&amp;" - ","")&amp;G272&amp;" - "&amp;DAY(B272)&amp;"."&amp;MONTH(B272)&amp;"."&amp;YEAR(B272)</f>
        <v>Poptávka TURTO - PohlCon - izolační nosníky - 28.4.2026</v>
      </c>
    </row>
    <row r="273" spans="1:9" s="14" customFormat="1" ht="30">
      <c r="A273" s="15" t="s">
        <v>890</v>
      </c>
      <c r="B273" s="17">
        <v>46140</v>
      </c>
      <c r="C273" s="17">
        <v>46140</v>
      </c>
      <c r="D273" s="15" t="s">
        <v>578</v>
      </c>
      <c r="E273" s="15" t="s">
        <v>1179</v>
      </c>
      <c r="F273" s="15" t="s">
        <v>912</v>
      </c>
      <c r="G273" s="15" t="s">
        <v>908</v>
      </c>
      <c r="H273" s="15"/>
      <c r="I273" s="15" t="str">
        <f>"Poptávka TURTO - "&amp;A273&amp;" - "&amp;IF(F273=data!$E$1,E273&amp;" - ","")&amp;G273&amp;" - "&amp;DAY(B273)&amp;"."&amp;MONTH(B273)&amp;"."&amp;YEAR(B273)</f>
        <v>Poptávka TURTO - Pro-Doma - lenton spojky - 28.4.2026</v>
      </c>
    </row>
    <row r="274" spans="1:9" s="14" customFormat="1">
      <c r="A274" s="15" t="s">
        <v>885</v>
      </c>
      <c r="B274" s="17">
        <v>46139</v>
      </c>
      <c r="C274" s="17">
        <v>46146</v>
      </c>
      <c r="D274" s="15" t="s">
        <v>318</v>
      </c>
      <c r="E274" s="15" t="s">
        <v>1178</v>
      </c>
      <c r="F274" s="15" t="s">
        <v>911</v>
      </c>
      <c r="G274" s="15" t="s">
        <v>906</v>
      </c>
      <c r="H274" s="15"/>
      <c r="I274" s="15" t="str">
        <f>"Poptávka TURTO - "&amp;A274&amp;" - "&amp;IF(F274=data!$E$1,E274&amp;" - ","")&amp;G274&amp;" - "&amp;DAY(B274)&amp;"."&amp;MONTH(B274)&amp;"."&amp;YEAR(B274)</f>
        <v>Poptávka TURTO - Leviat - Pitkovický Dvůr - izolační nosníky - 27.4.2026</v>
      </c>
    </row>
    <row r="275" spans="1:9" s="14" customFormat="1">
      <c r="A275" s="15" t="s">
        <v>886</v>
      </c>
      <c r="B275" s="17">
        <v>46139</v>
      </c>
      <c r="C275" s="17">
        <v>46139</v>
      </c>
      <c r="D275" s="15" t="s">
        <v>577</v>
      </c>
      <c r="E275" s="15" t="s">
        <v>6</v>
      </c>
      <c r="F275" s="15" t="s">
        <v>912</v>
      </c>
      <c r="G275" s="15" t="s">
        <v>1177</v>
      </c>
      <c r="H275" s="15"/>
      <c r="I275" s="15" t="str">
        <f>"Poptávka TURTO - "&amp;A275&amp;" - "&amp;IF(F275=data!$E$1,E275&amp;" - ","")&amp;G275&amp;" - "&amp;DAY(B275)&amp;"."&amp;MONTH(B275)&amp;"."&amp;YEAR(B275)</f>
        <v>Poptávka TURTO - PohlCon - plech ABS - 27.4.2026</v>
      </c>
    </row>
    <row r="276" spans="1:9" s="14" customFormat="1">
      <c r="A276" s="15" t="s">
        <v>1166</v>
      </c>
      <c r="B276" s="17">
        <v>46139</v>
      </c>
      <c r="C276" s="17">
        <v>46139</v>
      </c>
      <c r="D276" s="15" t="s">
        <v>1176</v>
      </c>
      <c r="E276" s="15" t="s">
        <v>1174</v>
      </c>
      <c r="F276" s="15" t="s">
        <v>912</v>
      </c>
      <c r="G276" s="15" t="s">
        <v>1175</v>
      </c>
      <c r="H276" s="15"/>
      <c r="I276" s="15" t="str">
        <f>"Poptávka TURTO - "&amp;A276&amp;" - "&amp;IF(F276=data!$E$1,E276&amp;" - ","")&amp;G276&amp;" - "&amp;DAY(B276)&amp;"."&amp;MONTH(B276)&amp;"."&amp;YEAR(B276)</f>
        <v>Poptávka TURTO - SIKA - Sika Emako - 27.4.2026</v>
      </c>
    </row>
    <row r="277" spans="1:9" s="14" customFormat="1">
      <c r="A277" s="15" t="s">
        <v>885</v>
      </c>
      <c r="B277" s="17">
        <v>46137</v>
      </c>
      <c r="C277" s="17">
        <v>46140</v>
      </c>
      <c r="D277" s="15" t="s">
        <v>265</v>
      </c>
      <c r="E277" s="15" t="s">
        <v>1173</v>
      </c>
      <c r="F277" s="15" t="s">
        <v>912</v>
      </c>
      <c r="G277" s="15" t="s">
        <v>983</v>
      </c>
      <c r="H277" s="15"/>
      <c r="I277" s="15" t="str">
        <f>"Poptávka TURTO - "&amp;A277&amp;" - "&amp;IF(F277=data!$E$1,E277&amp;" - ","")&amp;G277&amp;" - "&amp;DAY(B277)&amp;"."&amp;MONTH(B277)&amp;"."&amp;YEAR(B277)</f>
        <v>Poptávka TURTO - Leviat - Halfen HKW  - 25.4.2026</v>
      </c>
    </row>
    <row r="278" spans="1:9" s="14" customFormat="1">
      <c r="A278" s="15" t="s">
        <v>885</v>
      </c>
      <c r="B278" s="17">
        <v>46136</v>
      </c>
      <c r="C278" s="17">
        <v>46136</v>
      </c>
      <c r="D278" s="15" t="s">
        <v>653</v>
      </c>
      <c r="E278" s="15" t="s">
        <v>1172</v>
      </c>
      <c r="F278" s="15" t="s">
        <v>911</v>
      </c>
      <c r="G278" s="15" t="s">
        <v>906</v>
      </c>
      <c r="H278" s="15"/>
      <c r="I278" s="15" t="str">
        <f>"Poptávka TURTO - "&amp;A278&amp;" - "&amp;IF(F278=data!$E$1,E278&amp;" - ","")&amp;G278&amp;" - "&amp;DAY(B278)&amp;"."&amp;MONTH(B278)&amp;"."&amp;YEAR(B278)</f>
        <v>Poptávka TURTO - Leviat - Lochkov towers - izolační nosníky - 24.4.2026</v>
      </c>
    </row>
    <row r="279" spans="1:9" s="14" customFormat="1">
      <c r="A279" s="15" t="s">
        <v>885</v>
      </c>
      <c r="B279" s="17">
        <v>46136</v>
      </c>
      <c r="C279" s="17">
        <v>46136</v>
      </c>
      <c r="D279" s="15" t="s">
        <v>487</v>
      </c>
      <c r="E279" s="15" t="s">
        <v>1171</v>
      </c>
      <c r="F279" s="15" t="s">
        <v>911</v>
      </c>
      <c r="G279" s="15" t="s">
        <v>906</v>
      </c>
      <c r="H279" s="15"/>
      <c r="I279" s="15" t="str">
        <f>"Poptávka TURTO - "&amp;A279&amp;" - "&amp;IF(F279=data!$E$1,E279&amp;" - ","")&amp;G279&amp;" - "&amp;DAY(B279)&amp;"."&amp;MONTH(B279)&amp;"."&amp;YEAR(B279)</f>
        <v>Poptávka TURTO - Leviat - Nový Rohan E6 - izolační nosníky - 24.4.2026</v>
      </c>
    </row>
    <row r="280" spans="1:9" s="14" customFormat="1" ht="30">
      <c r="A280" s="15" t="s">
        <v>891</v>
      </c>
      <c r="B280" s="17">
        <v>46135</v>
      </c>
      <c r="C280" s="17"/>
      <c r="D280" s="15" t="s">
        <v>760</v>
      </c>
      <c r="E280" s="15" t="s">
        <v>1091</v>
      </c>
      <c r="F280" s="15" t="s">
        <v>912</v>
      </c>
      <c r="G280" s="15" t="s">
        <v>913</v>
      </c>
      <c r="H280" s="15"/>
      <c r="I280" s="15" t="str">
        <f>"Poptávka TURTO - "&amp;A280&amp;" - "&amp;IF(F280=data!$E$1,E280&amp;" - ","")&amp;G280&amp;" - "&amp;DAY(B280)&amp;"."&amp;MONTH(B280)&amp;"."&amp;YEAR(B280)</f>
        <v>Poptávka TURTO - Nevoga - vylamovací výztuž - 23.4.2026</v>
      </c>
    </row>
    <row r="281" spans="1:9" s="14" customFormat="1" ht="30">
      <c r="A281" s="15" t="s">
        <v>885</v>
      </c>
      <c r="B281" s="17">
        <v>46135</v>
      </c>
      <c r="C281" s="17">
        <v>46135</v>
      </c>
      <c r="D281" s="15" t="s">
        <v>760</v>
      </c>
      <c r="E281" s="15" t="s">
        <v>1091</v>
      </c>
      <c r="F281" s="15" t="s">
        <v>912</v>
      </c>
      <c r="G281" s="15" t="s">
        <v>1126</v>
      </c>
      <c r="H281" s="15"/>
      <c r="I281" s="15" t="str">
        <f>"Poptávka TURTO - "&amp;A281&amp;" - "&amp;IF(F281=data!$E$1,E281&amp;" - ","")&amp;G281&amp;" - "&amp;DAY(B281)&amp;"."&amp;MONTH(B281)&amp;"."&amp;YEAR(B281)</f>
        <v>Poptávka TURTO - Leviat - spojky výztuže - 23.4.2026</v>
      </c>
    </row>
    <row r="282" spans="1:9" s="14" customFormat="1" ht="30">
      <c r="A282" s="15" t="s">
        <v>1166</v>
      </c>
      <c r="B282" s="17">
        <v>46135</v>
      </c>
      <c r="C282" s="17">
        <v>46139</v>
      </c>
      <c r="D282" s="15" t="s">
        <v>195</v>
      </c>
      <c r="E282" s="15" t="s">
        <v>1168</v>
      </c>
      <c r="F282" s="15" t="s">
        <v>912</v>
      </c>
      <c r="G282" s="15" t="s">
        <v>1167</v>
      </c>
      <c r="H282" s="15"/>
      <c r="I282" s="15" t="str">
        <f>"Poptávka TURTO - "&amp;A282&amp;" - "&amp;IF(F282=data!$E$1,E282&amp;" - ","")&amp;G282&amp;" - "&amp;DAY(B282)&amp;"."&amp;MONTH(B282)&amp;"."&amp;YEAR(B282)</f>
        <v>Poptávka TURTO - SIKA - Carbo lamela - 23.4.2026</v>
      </c>
    </row>
    <row r="283" spans="1:9" s="14" customFormat="1">
      <c r="A283" s="15" t="s">
        <v>889</v>
      </c>
      <c r="B283" s="17">
        <v>46135</v>
      </c>
      <c r="C283" s="17">
        <v>46135</v>
      </c>
      <c r="D283" s="15" t="s">
        <v>577</v>
      </c>
      <c r="E283" s="15" t="s">
        <v>1165</v>
      </c>
      <c r="F283" s="15" t="s">
        <v>912</v>
      </c>
      <c r="G283" s="15" t="s">
        <v>907</v>
      </c>
      <c r="H283" s="15"/>
      <c r="I283" s="15" t="str">
        <f>"Poptávka TURTO - "&amp;A283&amp;" - "&amp;IF(F283=data!$E$1,E283&amp;" - ","")&amp;G283&amp;" - "&amp;DAY(B283)&amp;"."&amp;MONTH(B283)&amp;"."&amp;YEAR(B283)</f>
        <v>Poptávka TURTO - Peikko - smyková výztuž - 23.4.2026</v>
      </c>
    </row>
    <row r="284" spans="1:9" s="14" customFormat="1">
      <c r="A284" s="15" t="s">
        <v>886</v>
      </c>
      <c r="B284" s="17">
        <v>46134</v>
      </c>
      <c r="C284" s="17"/>
      <c r="D284" s="15" t="s">
        <v>620</v>
      </c>
      <c r="E284" s="15" t="s">
        <v>61</v>
      </c>
      <c r="F284" s="15" t="s">
        <v>912</v>
      </c>
      <c r="G284" s="15" t="s">
        <v>907</v>
      </c>
      <c r="H284" s="15"/>
      <c r="I284" s="15" t="str">
        <f>"Poptávka TURTO - "&amp;A284&amp;" - "&amp;IF(F284=data!$E$1,E284&amp;" - ","")&amp;G284&amp;" - "&amp;DAY(B284)&amp;"."&amp;MONTH(B284)&amp;"."&amp;YEAR(B284)</f>
        <v>Poptávka TURTO - PohlCon - smyková výztuž - 22.4.2026</v>
      </c>
    </row>
    <row r="285" spans="1:9" s="14" customFormat="1">
      <c r="A285" s="15" t="s">
        <v>889</v>
      </c>
      <c r="B285" s="17">
        <v>46134</v>
      </c>
      <c r="C285" s="17">
        <v>46134</v>
      </c>
      <c r="D285" s="15" t="s">
        <v>620</v>
      </c>
      <c r="E285" s="15" t="s">
        <v>61</v>
      </c>
      <c r="F285" s="15" t="s">
        <v>912</v>
      </c>
      <c r="G285" s="15" t="s">
        <v>907</v>
      </c>
      <c r="H285" s="15"/>
      <c r="I285" s="15" t="str">
        <f>"Poptávka TURTO - "&amp;A285&amp;" - "&amp;IF(F285=data!$E$1,E285&amp;" - ","")&amp;G285&amp;" - "&amp;DAY(B285)&amp;"."&amp;MONTH(B285)&amp;"."&amp;YEAR(B285)</f>
        <v>Poptávka TURTO - Peikko - smyková výztuž - 22.4.2026</v>
      </c>
    </row>
    <row r="286" spans="1:9" s="14" customFormat="1" ht="30">
      <c r="A286" s="15" t="s">
        <v>885</v>
      </c>
      <c r="B286" s="17">
        <v>46134</v>
      </c>
      <c r="C286" s="17">
        <v>46135</v>
      </c>
      <c r="D286" s="15" t="s">
        <v>747</v>
      </c>
      <c r="E286" s="15" t="s">
        <v>1164</v>
      </c>
      <c r="F286" s="15" t="s">
        <v>911</v>
      </c>
      <c r="G286" s="15" t="s">
        <v>906</v>
      </c>
      <c r="H286" s="15"/>
      <c r="I286" s="15" t="str">
        <f>"Poptávka TURTO - "&amp;A286&amp;" - "&amp;IF(F286=data!$E$1,E286&amp;" - ","")&amp;G286&amp;" - "&amp;DAY(B286)&amp;"."&amp;MONTH(B286)&amp;"."&amp;YEAR(B286)</f>
        <v>Poptávka TURTO - Leviat - Rezidence U Svatého Eliáše - izolační nosníky - 22.4.2026</v>
      </c>
    </row>
    <row r="287" spans="1:9" s="14" customFormat="1">
      <c r="A287" s="15" t="s">
        <v>885</v>
      </c>
      <c r="B287" s="17">
        <v>46134</v>
      </c>
      <c r="C287" s="17">
        <v>46139</v>
      </c>
      <c r="D287" s="15" t="s">
        <v>705</v>
      </c>
      <c r="E287" s="15" t="s">
        <v>1161</v>
      </c>
      <c r="F287" s="15" t="s">
        <v>911</v>
      </c>
      <c r="G287" s="15" t="s">
        <v>906</v>
      </c>
      <c r="H287" s="15"/>
      <c r="I287" s="15" t="str">
        <f>"Poptávka TURTO - "&amp;A287&amp;" - "&amp;IF(F287=data!$E$1,E287&amp;" - ","")&amp;G287&amp;" - "&amp;DAY(B287)&amp;"."&amp;MONTH(B287)&amp;"."&amp;YEAR(B287)</f>
        <v>Poptávka TURTO - Leviat - RD Slivenec - izolační nosníky - 22.4.2026</v>
      </c>
    </row>
    <row r="288" spans="1:9" s="14" customFormat="1">
      <c r="A288" s="15" t="s">
        <v>885</v>
      </c>
      <c r="B288" s="17">
        <v>46134</v>
      </c>
      <c r="C288" s="17">
        <v>46134</v>
      </c>
      <c r="D288" s="15" t="s">
        <v>269</v>
      </c>
      <c r="E288" s="15" t="s">
        <v>1006</v>
      </c>
      <c r="F288" s="15" t="s">
        <v>911</v>
      </c>
      <c r="G288" s="15" t="s">
        <v>1163</v>
      </c>
      <c r="H288" s="15"/>
      <c r="I288" s="15" t="str">
        <f>"Poptávka TURTO - "&amp;A288&amp;" - "&amp;IF(F288=data!$E$1,E288&amp;" - ","")&amp;G288&amp;" - "&amp;DAY(B288)&amp;"."&amp;MONTH(B288)&amp;"."&amp;YEAR(B288)</f>
        <v>Poptávka TURTO - Leviat - Beroun Pískovna - HTA - 22.4.2026</v>
      </c>
    </row>
    <row r="289" spans="1:9" s="14" customFormat="1">
      <c r="A289" s="15" t="s">
        <v>886</v>
      </c>
      <c r="B289" s="17">
        <v>46134</v>
      </c>
      <c r="C289" s="17">
        <v>46134</v>
      </c>
      <c r="D289" s="15" t="s">
        <v>577</v>
      </c>
      <c r="E289" s="15" t="s">
        <v>6</v>
      </c>
      <c r="F289" s="15" t="s">
        <v>912</v>
      </c>
      <c r="G289" s="15" t="s">
        <v>1106</v>
      </c>
      <c r="H289" s="15"/>
      <c r="I289" s="15" t="str">
        <f>"Poptávka TURTO - "&amp;A289&amp;" - "&amp;IF(F289=data!$E$1,E289&amp;" - ","")&amp;G289&amp;" - "&amp;DAY(B289)&amp;"."&amp;MONTH(B289)&amp;"."&amp;YEAR(B289)</f>
        <v>Poptávka TURTO - PohlCon - PVC pásy - 22.4.2026</v>
      </c>
    </row>
    <row r="290" spans="1:9" s="14" customFormat="1">
      <c r="A290" s="15" t="s">
        <v>886</v>
      </c>
      <c r="B290" s="17">
        <v>46133</v>
      </c>
      <c r="C290" s="17">
        <v>46133</v>
      </c>
      <c r="D290" s="15" t="s">
        <v>705</v>
      </c>
      <c r="E290" s="15" t="s">
        <v>1161</v>
      </c>
      <c r="F290" s="15" t="s">
        <v>912</v>
      </c>
      <c r="G290" s="15" t="s">
        <v>907</v>
      </c>
      <c r="H290" s="15"/>
      <c r="I290" s="15" t="str">
        <f>"Poptávka TURTO - "&amp;A290&amp;" - "&amp;IF(F290=data!$E$1,E290&amp;" - ","")&amp;G290&amp;" - "&amp;DAY(B290)&amp;"."&amp;MONTH(B290)&amp;"."&amp;YEAR(B290)</f>
        <v>Poptávka TURTO - PohlCon - smyková výztuž - 21.4.2026</v>
      </c>
    </row>
    <row r="291" spans="1:9" s="14" customFormat="1" ht="30">
      <c r="A291" s="15" t="s">
        <v>885</v>
      </c>
      <c r="B291" s="17">
        <v>46133</v>
      </c>
      <c r="C291" s="17">
        <v>46135</v>
      </c>
      <c r="D291" s="15" t="s">
        <v>635</v>
      </c>
      <c r="E291" s="15" t="s">
        <v>1160</v>
      </c>
      <c r="F291" s="15" t="s">
        <v>911</v>
      </c>
      <c r="G291" s="15" t="s">
        <v>906</v>
      </c>
      <c r="H291" s="15"/>
      <c r="I291" s="15" t="str">
        <f>"Poptávka TURTO - "&amp;A291&amp;" - "&amp;IF(F291=data!$E$1,E291&amp;" - ","")&amp;G291&amp;" - "&amp;DAY(B291)&amp;"."&amp;MONTH(B291)&amp;"."&amp;YEAR(B291)</f>
        <v>Poptávka TURTO - Leviat - RD Okrajova - izolační nosníky - 21.4.2026</v>
      </c>
    </row>
    <row r="292" spans="1:9" s="14" customFormat="1">
      <c r="A292" s="15" t="s">
        <v>885</v>
      </c>
      <c r="B292" s="17">
        <v>46133</v>
      </c>
      <c r="C292" s="17">
        <v>46136</v>
      </c>
      <c r="D292" s="15" t="s">
        <v>499</v>
      </c>
      <c r="E292" s="15" t="s">
        <v>1159</v>
      </c>
      <c r="F292" s="15" t="s">
        <v>912</v>
      </c>
      <c r="G292" s="15" t="s">
        <v>1043</v>
      </c>
      <c r="H292" s="15"/>
      <c r="I292" s="15" t="str">
        <f>"Poptávka TURTO - "&amp;A292&amp;" - "&amp;IF(F292=data!$E$1,E292&amp;" - ","")&amp;G292&amp;" - "&amp;DAY(B292)&amp;"."&amp;MONTH(B292)&amp;"."&amp;YEAR(B292)</f>
        <v>Poptávka TURTO - Leviat - akustika - 21.4.2026</v>
      </c>
    </row>
    <row r="293" spans="1:9" s="14" customFormat="1" ht="30">
      <c r="A293" s="15" t="s">
        <v>885</v>
      </c>
      <c r="B293" s="17">
        <v>46133</v>
      </c>
      <c r="C293" s="17">
        <v>46133</v>
      </c>
      <c r="D293" s="15" t="s">
        <v>296</v>
      </c>
      <c r="E293" s="15" t="s">
        <v>955</v>
      </c>
      <c r="F293" s="15" t="s">
        <v>912</v>
      </c>
      <c r="G293" s="15" t="s">
        <v>906</v>
      </c>
      <c r="H293" s="15"/>
      <c r="I293" s="15" t="str">
        <f>"Poptávka TURTO - "&amp;A293&amp;" - "&amp;IF(F293=data!$E$1,E293&amp;" - ","")&amp;G293&amp;" - "&amp;DAY(B293)&amp;"."&amp;MONTH(B293)&amp;"."&amp;YEAR(B293)</f>
        <v>Poptávka TURTO - Leviat - izolační nosníky - 21.4.2026</v>
      </c>
    </row>
    <row r="294" spans="1:9" s="14" customFormat="1">
      <c r="A294" s="15" t="s">
        <v>889</v>
      </c>
      <c r="B294" s="17">
        <v>46132</v>
      </c>
      <c r="C294" s="17">
        <v>46133</v>
      </c>
      <c r="D294" s="15" t="s">
        <v>487</v>
      </c>
      <c r="E294" s="15" t="s">
        <v>1148</v>
      </c>
      <c r="F294" s="15" t="s">
        <v>912</v>
      </c>
      <c r="G294" s="15" t="s">
        <v>907</v>
      </c>
      <c r="H294" s="15"/>
      <c r="I294" s="15" t="str">
        <f>"Poptávka TURTO - "&amp;A294&amp;" - "&amp;IF(F294=data!$E$1,E294&amp;" - ","")&amp;G294&amp;" - "&amp;DAY(B294)&amp;"."&amp;MONTH(B294)&amp;"."&amp;YEAR(B294)</f>
        <v>Poptávka TURTO - Peikko - smyková výztuž - 20.4.2026</v>
      </c>
    </row>
    <row r="295" spans="1:9" s="14" customFormat="1">
      <c r="A295" s="15" t="s">
        <v>886</v>
      </c>
      <c r="B295" s="17">
        <v>46132</v>
      </c>
      <c r="C295" s="17">
        <v>46133</v>
      </c>
      <c r="D295" s="15" t="s">
        <v>487</v>
      </c>
      <c r="E295" s="15" t="s">
        <v>1148</v>
      </c>
      <c r="F295" s="15" t="s">
        <v>912</v>
      </c>
      <c r="G295" s="15" t="s">
        <v>907</v>
      </c>
      <c r="H295" s="15"/>
      <c r="I295" s="15" t="str">
        <f>"Poptávka TURTO - "&amp;A295&amp;" - "&amp;IF(F295=data!$E$1,E295&amp;" - ","")&amp;G295&amp;" - "&amp;DAY(B295)&amp;"."&amp;MONTH(B295)&amp;"."&amp;YEAR(B295)</f>
        <v>Poptávka TURTO - PohlCon - smyková výztuž - 20.4.2026</v>
      </c>
    </row>
    <row r="296" spans="1:9" s="14" customFormat="1">
      <c r="A296" s="15" t="s">
        <v>885</v>
      </c>
      <c r="B296" s="17">
        <v>46132</v>
      </c>
      <c r="C296" s="17">
        <v>46141</v>
      </c>
      <c r="D296" s="15" t="s">
        <v>811</v>
      </c>
      <c r="E296" s="15" t="s">
        <v>1147</v>
      </c>
      <c r="F296" s="15" t="s">
        <v>911</v>
      </c>
      <c r="G296" s="15" t="s">
        <v>906</v>
      </c>
      <c r="H296" s="15"/>
      <c r="I296" s="15" t="str">
        <f>"Poptávka TURTO - "&amp;A296&amp;" - "&amp;IF(F296=data!$E$1,E296&amp;" - ","")&amp;G296&amp;" - "&amp;DAY(B296)&amp;"."&amp;MONTH(B296)&amp;"."&amp;YEAR(B296)</f>
        <v>Poptávka TURTO - Leviat - BD Sabinova Brno - izolační nosníky - 20.4.2026</v>
      </c>
    </row>
    <row r="297" spans="1:9" s="14" customFormat="1">
      <c r="A297" s="15" t="s">
        <v>888</v>
      </c>
      <c r="B297" s="17">
        <v>46132</v>
      </c>
      <c r="C297" s="17">
        <v>46133</v>
      </c>
      <c r="D297" s="15" t="s">
        <v>720</v>
      </c>
      <c r="E297" s="15" t="s">
        <v>1141</v>
      </c>
      <c r="F297" s="15" t="s">
        <v>912</v>
      </c>
      <c r="G297" s="15" t="s">
        <v>909</v>
      </c>
      <c r="H297" s="15"/>
      <c r="I297" s="15" t="str">
        <f>"Poptávka TURTO - "&amp;A297&amp;" - "&amp;IF(F297=data!$E$1,E297&amp;" - ","")&amp;G297&amp;" - "&amp;DAY(B297)&amp;"."&amp;MONTH(B297)&amp;"."&amp;YEAR(B297)</f>
        <v>Poptávka TURTO - GeroTop - prostupy - 20.4.2026</v>
      </c>
    </row>
    <row r="298" spans="1:9" s="14" customFormat="1">
      <c r="A298" s="15" t="s">
        <v>886</v>
      </c>
      <c r="B298" s="17">
        <v>46132</v>
      </c>
      <c r="C298" s="17">
        <v>46133</v>
      </c>
      <c r="D298" s="15" t="s">
        <v>720</v>
      </c>
      <c r="E298" s="15" t="s">
        <v>1141</v>
      </c>
      <c r="F298" s="15" t="s">
        <v>912</v>
      </c>
      <c r="G298" s="15" t="s">
        <v>907</v>
      </c>
      <c r="H298" s="15"/>
      <c r="I298" s="15" t="str">
        <f>"Poptávka TURTO - "&amp;A298&amp;" - "&amp;IF(F298=data!$E$1,E298&amp;" - ","")&amp;G298&amp;" - "&amp;DAY(B298)&amp;"."&amp;MONTH(B298)&amp;"."&amp;YEAR(B298)</f>
        <v>Poptávka TURTO - PohlCon - smyková výztuž - 20.4.2026</v>
      </c>
    </row>
    <row r="299" spans="1:9" s="14" customFormat="1">
      <c r="A299" s="15" t="s">
        <v>885</v>
      </c>
      <c r="B299" s="17">
        <v>46132</v>
      </c>
      <c r="C299" s="17">
        <v>46133</v>
      </c>
      <c r="D299" s="15" t="s">
        <v>125</v>
      </c>
      <c r="E299" s="15" t="s">
        <v>1151</v>
      </c>
      <c r="F299" s="15" t="s">
        <v>911</v>
      </c>
      <c r="G299" s="15" t="s">
        <v>906</v>
      </c>
      <c r="H299" s="15"/>
      <c r="I299" s="15" t="str">
        <f>"Poptávka TURTO - "&amp;A299&amp;" - "&amp;IF(F299=data!$E$1,E299&amp;" - ","")&amp;G299&amp;" - "&amp;DAY(B299)&amp;"."&amp;MONTH(B299)&amp;"."&amp;YEAR(B299)</f>
        <v>Poptávka TURTO - Leviat - Hrnčíře - izolační nosníky - 20.4.2026</v>
      </c>
    </row>
    <row r="300" spans="1:9" s="14" customFormat="1">
      <c r="A300" s="15" t="s">
        <v>886</v>
      </c>
      <c r="B300" s="17">
        <v>46132</v>
      </c>
      <c r="C300" s="17">
        <v>46134</v>
      </c>
      <c r="D300" s="15" t="s">
        <v>487</v>
      </c>
      <c r="E300" s="15" t="s">
        <v>54</v>
      </c>
      <c r="F300" s="15" t="s">
        <v>912</v>
      </c>
      <c r="G300" s="15" t="s">
        <v>1043</v>
      </c>
      <c r="H300" s="15"/>
      <c r="I300" s="15" t="str">
        <f>"Poptávka TURTO - "&amp;A300&amp;" - "&amp;IF(F300=data!$E$1,E300&amp;" - ","")&amp;G300&amp;" - "&amp;DAY(B300)&amp;"."&amp;MONTH(B300)&amp;"."&amp;YEAR(B300)</f>
        <v>Poptávka TURTO - PohlCon - akustika - 20.4.2026</v>
      </c>
    </row>
    <row r="301" spans="1:9" s="14" customFormat="1">
      <c r="A301" s="15" t="s">
        <v>885</v>
      </c>
      <c r="B301" s="17">
        <v>46132</v>
      </c>
      <c r="C301" s="17">
        <v>46133</v>
      </c>
      <c r="D301" s="15" t="s">
        <v>705</v>
      </c>
      <c r="E301" s="15" t="s">
        <v>1146</v>
      </c>
      <c r="F301" s="15" t="s">
        <v>911</v>
      </c>
      <c r="G301" s="15" t="s">
        <v>906</v>
      </c>
      <c r="H301" s="15"/>
      <c r="I301" s="15" t="str">
        <f>"Poptávka TURTO - "&amp;A301&amp;" - "&amp;IF(F301=data!$E$1,E301&amp;" - ","")&amp;G301&amp;" - "&amp;DAY(B301)&amp;"."&amp;MONTH(B301)&amp;"."&amp;YEAR(B301)</f>
        <v>Poptávka TURTO - Leviat - Bazén Vyrtych - izolační nosníky - 20.4.2026</v>
      </c>
    </row>
    <row r="302" spans="1:9" s="14" customFormat="1">
      <c r="A302" s="15" t="s">
        <v>885</v>
      </c>
      <c r="B302" s="17">
        <v>46131</v>
      </c>
      <c r="C302" s="17">
        <v>46132</v>
      </c>
      <c r="D302" s="15" t="s">
        <v>821</v>
      </c>
      <c r="E302" s="15" t="s">
        <v>919</v>
      </c>
      <c r="F302" s="15" t="s">
        <v>911</v>
      </c>
      <c r="G302" s="15" t="s">
        <v>906</v>
      </c>
      <c r="H302" s="15"/>
      <c r="I302" s="15" t="str">
        <f>"Poptávka TURTO - "&amp;A302&amp;" - "&amp;IF(F302=data!$E$1,E302&amp;" - ","")&amp;G302&amp;" - "&amp;DAY(B302)&amp;"."&amp;MONTH(B302)&amp;"."&amp;YEAR(B302)</f>
        <v>Poptávka TURTO - Leviat - Královské louky, KV - izolační nosníky - 19.4.2026</v>
      </c>
    </row>
    <row r="303" spans="1:9" s="14" customFormat="1">
      <c r="A303" s="15" t="s">
        <v>885</v>
      </c>
      <c r="B303" s="17">
        <v>46129</v>
      </c>
      <c r="C303" s="17">
        <v>46132</v>
      </c>
      <c r="D303" s="15" t="s">
        <v>747</v>
      </c>
      <c r="E303" s="15" t="s">
        <v>1138</v>
      </c>
      <c r="F303" s="15" t="s">
        <v>911</v>
      </c>
      <c r="G303" s="15" t="s">
        <v>906</v>
      </c>
      <c r="H303" s="15"/>
      <c r="I303" s="15" t="str">
        <f>"Poptávka TURTO - "&amp;A303&amp;" - "&amp;IF(F303=data!$E$1,E303&amp;" - ","")&amp;G303&amp;" - "&amp;DAY(B303)&amp;"."&amp;MONTH(B303)&amp;"."&amp;YEAR(B303)</f>
        <v>Poptávka TURTO - Leviat - BD Nový Zelenáč - izolační nosníky - 17.4.2026</v>
      </c>
    </row>
    <row r="304" spans="1:9" s="14" customFormat="1">
      <c r="A304" s="15" t="s">
        <v>886</v>
      </c>
      <c r="B304" s="17">
        <v>46129</v>
      </c>
      <c r="C304" s="17"/>
      <c r="D304" s="15" t="s">
        <v>812</v>
      </c>
      <c r="E304" s="15" t="s">
        <v>1145</v>
      </c>
      <c r="F304" s="15" t="s">
        <v>912</v>
      </c>
      <c r="G304" s="15" t="s">
        <v>907</v>
      </c>
      <c r="H304" s="15"/>
      <c r="I304" s="15" t="str">
        <f>"Poptávka TURTO - "&amp;A304&amp;" - "&amp;IF(F304=data!$E$1,E304&amp;" - ","")&amp;G304&amp;" - "&amp;DAY(B304)&amp;"."&amp;MONTH(B304)&amp;"."&amp;YEAR(B304)</f>
        <v>Poptávka TURTO - PohlCon - smyková výztuž - 17.4.2026</v>
      </c>
    </row>
    <row r="305" spans="1:9" s="14" customFormat="1">
      <c r="A305" s="15" t="s">
        <v>889</v>
      </c>
      <c r="B305" s="17">
        <v>46129</v>
      </c>
      <c r="C305" s="17">
        <v>46129</v>
      </c>
      <c r="D305" s="15" t="s">
        <v>812</v>
      </c>
      <c r="E305" s="15" t="s">
        <v>1145</v>
      </c>
      <c r="F305" s="15" t="s">
        <v>912</v>
      </c>
      <c r="G305" s="15" t="s">
        <v>907</v>
      </c>
      <c r="H305" s="15"/>
      <c r="I305" s="15" t="str">
        <f>"Poptávka TURTO - "&amp;A305&amp;" - "&amp;IF(F305=data!$E$1,E305&amp;" - ","")&amp;G305&amp;" - "&amp;DAY(B305)&amp;"."&amp;MONTH(B305)&amp;"."&amp;YEAR(B305)</f>
        <v>Poptávka TURTO - Peikko - smyková výztuž - 17.4.2026</v>
      </c>
    </row>
    <row r="306" spans="1:9" s="14" customFormat="1">
      <c r="A306" s="15" t="s">
        <v>886</v>
      </c>
      <c r="B306" s="17">
        <v>46128</v>
      </c>
      <c r="C306" s="17"/>
      <c r="D306" s="15" t="s">
        <v>747</v>
      </c>
      <c r="E306" s="15" t="s">
        <v>1138</v>
      </c>
      <c r="F306" s="15" t="s">
        <v>912</v>
      </c>
      <c r="G306" s="15" t="s">
        <v>907</v>
      </c>
      <c r="H306" s="15"/>
      <c r="I306" s="15" t="str">
        <f>"Poptávka TURTO - "&amp;A306&amp;" - "&amp;IF(F306=data!$E$1,E306&amp;" - ","")&amp;G306&amp;" - "&amp;DAY(B306)&amp;"."&amp;MONTH(B306)&amp;"."&amp;YEAR(B306)</f>
        <v>Poptávka TURTO - PohlCon - smyková výztuž - 16.4.2026</v>
      </c>
    </row>
    <row r="307" spans="1:9" s="14" customFormat="1">
      <c r="A307" s="15" t="s">
        <v>889</v>
      </c>
      <c r="B307" s="17">
        <v>46128</v>
      </c>
      <c r="C307" s="17">
        <v>46128</v>
      </c>
      <c r="D307" s="15" t="s">
        <v>747</v>
      </c>
      <c r="E307" s="15" t="s">
        <v>1138</v>
      </c>
      <c r="F307" s="15" t="s">
        <v>912</v>
      </c>
      <c r="G307" s="15" t="s">
        <v>907</v>
      </c>
      <c r="H307" s="15"/>
      <c r="I307" s="15" t="str">
        <f>"Poptávka TURTO - "&amp;A307&amp;" - "&amp;IF(F307=data!$E$1,E307&amp;" - ","")&amp;G307&amp;" - "&amp;DAY(B307)&amp;"."&amp;MONTH(B307)&amp;"."&amp;YEAR(B307)</f>
        <v>Poptávka TURTO - Peikko - smyková výztuž - 16.4.2026</v>
      </c>
    </row>
    <row r="308" spans="1:9" s="14" customFormat="1">
      <c r="A308" s="15" t="s">
        <v>888</v>
      </c>
      <c r="B308" s="17">
        <v>46128</v>
      </c>
      <c r="C308" s="17">
        <v>46128</v>
      </c>
      <c r="D308" s="15" t="s">
        <v>747</v>
      </c>
      <c r="E308" s="15" t="s">
        <v>1138</v>
      </c>
      <c r="F308" s="15" t="s">
        <v>911</v>
      </c>
      <c r="G308" s="15" t="s">
        <v>909</v>
      </c>
      <c r="H308" s="15"/>
      <c r="I308" s="15" t="str">
        <f>"Poptávka TURTO - "&amp;A308&amp;" - "&amp;IF(F308=data!$E$1,E308&amp;" - ","")&amp;G308&amp;" - "&amp;DAY(B308)&amp;"."&amp;MONTH(B308)&amp;"."&amp;YEAR(B308)</f>
        <v>Poptávka TURTO - GeroTop - BD Nový Zelenáč - prostupy - 16.4.2026</v>
      </c>
    </row>
    <row r="309" spans="1:9" s="14" customFormat="1">
      <c r="A309" s="15" t="s">
        <v>885</v>
      </c>
      <c r="B309" s="17">
        <v>46128</v>
      </c>
      <c r="C309" s="17">
        <v>46132</v>
      </c>
      <c r="D309" s="15" t="s">
        <v>747</v>
      </c>
      <c r="E309" s="15" t="s">
        <v>1030</v>
      </c>
      <c r="F309" s="15" t="s">
        <v>912</v>
      </c>
      <c r="G309" s="15" t="s">
        <v>1126</v>
      </c>
      <c r="H309" s="15"/>
      <c r="I309" s="15" t="str">
        <f>"Poptávka TURTO - "&amp;A309&amp;" - "&amp;IF(F309=data!$E$1,E309&amp;" - ","")&amp;G309&amp;" - "&amp;DAY(B309)&amp;"."&amp;MONTH(B309)&amp;"."&amp;YEAR(B309)</f>
        <v>Poptávka TURTO - Leviat - spojky výztuže - 16.4.2026</v>
      </c>
    </row>
    <row r="310" spans="1:9" s="14" customFormat="1">
      <c r="A310" s="15" t="s">
        <v>985</v>
      </c>
      <c r="B310" s="17">
        <v>46128</v>
      </c>
      <c r="C310" s="17">
        <v>46132</v>
      </c>
      <c r="D310" s="15" t="s">
        <v>760</v>
      </c>
      <c r="E310" s="15" t="s">
        <v>952</v>
      </c>
      <c r="F310" s="15" t="s">
        <v>912</v>
      </c>
      <c r="G310" s="15" t="s">
        <v>1142</v>
      </c>
      <c r="H310" s="15"/>
      <c r="I310" s="15" t="str">
        <f>"Poptávka TURTO - "&amp;A310&amp;" - "&amp;IF(F310=data!$E$1,E310&amp;" - ","")&amp;G310&amp;" - "&amp;DAY(B310)&amp;"."&amp;MONTH(B310)&amp;"."&amp;YEAR(B310)</f>
        <v>Poptávka TURTO - EXPAN - MIGUTAN - 16.4.2026</v>
      </c>
    </row>
    <row r="311" spans="1:9" s="14" customFormat="1">
      <c r="A311" s="15" t="s">
        <v>885</v>
      </c>
      <c r="B311" s="17">
        <v>46128</v>
      </c>
      <c r="C311" s="17">
        <v>46128</v>
      </c>
      <c r="D311" s="15" t="s">
        <v>125</v>
      </c>
      <c r="E311" s="15" t="s">
        <v>1140</v>
      </c>
      <c r="F311" s="15" t="s">
        <v>911</v>
      </c>
      <c r="G311" s="15" t="s">
        <v>906</v>
      </c>
      <c r="H311" s="15"/>
      <c r="I311" s="15" t="str">
        <f>"Poptávka TURTO - "&amp;A311&amp;" - "&amp;IF(F311=data!$E$1,E311&amp;" - ","")&amp;G311&amp;" - "&amp;DAY(B311)&amp;"."&amp;MONTH(B311)&amp;"."&amp;YEAR(B311)</f>
        <v>Poptávka TURTO - Leviat - Počenice - izolační nosníky - 16.4.2026</v>
      </c>
    </row>
    <row r="312" spans="1:9" s="14" customFormat="1">
      <c r="A312" s="15" t="s">
        <v>886</v>
      </c>
      <c r="B312" s="17">
        <v>46127</v>
      </c>
      <c r="C312" s="17">
        <v>46128</v>
      </c>
      <c r="D312" s="15" t="s">
        <v>125</v>
      </c>
      <c r="E312" s="15" t="s">
        <v>1139</v>
      </c>
      <c r="F312" s="15" t="s">
        <v>912</v>
      </c>
      <c r="G312" s="15" t="s">
        <v>907</v>
      </c>
      <c r="H312" s="15"/>
      <c r="I312" s="15" t="str">
        <f>"Poptávka TURTO - "&amp;A312&amp;" - "&amp;IF(F312=data!$E$1,E312&amp;" - ","")&amp;G312&amp;" - "&amp;DAY(B312)&amp;"."&amp;MONTH(B312)&amp;"."&amp;YEAR(B312)</f>
        <v>Poptávka TURTO - PohlCon - smyková výztuž - 15.4.2026</v>
      </c>
    </row>
    <row r="313" spans="1:9" s="14" customFormat="1" ht="30">
      <c r="A313" s="15" t="s">
        <v>886</v>
      </c>
      <c r="B313" s="17">
        <v>46127</v>
      </c>
      <c r="C313" s="17">
        <v>46128</v>
      </c>
      <c r="D313" s="15" t="s">
        <v>97</v>
      </c>
      <c r="E313" s="15" t="s">
        <v>1108</v>
      </c>
      <c r="F313" s="15" t="s">
        <v>912</v>
      </c>
      <c r="G313" s="15" t="s">
        <v>907</v>
      </c>
      <c r="H313" s="15"/>
      <c r="I313" s="15" t="str">
        <f>"Poptávka TURTO - "&amp;A313&amp;" - "&amp;IF(F313=data!$E$1,E313&amp;" - ","")&amp;G313&amp;" - "&amp;DAY(B313)&amp;"."&amp;MONTH(B313)&amp;"."&amp;YEAR(B313)</f>
        <v>Poptávka TURTO - PohlCon - smyková výztuž - 15.4.2026</v>
      </c>
    </row>
    <row r="314" spans="1:9" s="14" customFormat="1" ht="30">
      <c r="A314" s="15" t="s">
        <v>889</v>
      </c>
      <c r="B314" s="17">
        <v>46127</v>
      </c>
      <c r="C314" s="17">
        <v>46128</v>
      </c>
      <c r="D314" s="15" t="s">
        <v>97</v>
      </c>
      <c r="E314" s="15" t="s">
        <v>1108</v>
      </c>
      <c r="F314" s="15" t="s">
        <v>912</v>
      </c>
      <c r="G314" s="15" t="s">
        <v>907</v>
      </c>
      <c r="H314" s="15"/>
      <c r="I314" s="15" t="str">
        <f>"Poptávka TURTO - "&amp;A314&amp;" - "&amp;IF(F314=data!$E$1,E314&amp;" - ","")&amp;G314&amp;" - "&amp;DAY(B314)&amp;"."&amp;MONTH(B314)&amp;"."&amp;YEAR(B314)</f>
        <v>Poptávka TURTO - Peikko - smyková výztuž - 15.4.2026</v>
      </c>
    </row>
    <row r="315" spans="1:9" s="14" customFormat="1" ht="30">
      <c r="A315" s="15" t="s">
        <v>885</v>
      </c>
      <c r="B315" s="17">
        <v>46127</v>
      </c>
      <c r="C315" s="17">
        <v>46128</v>
      </c>
      <c r="D315" s="15" t="s">
        <v>97</v>
      </c>
      <c r="E315" s="15" t="s">
        <v>1108</v>
      </c>
      <c r="F315" s="15" t="s">
        <v>912</v>
      </c>
      <c r="G315" s="15" t="s">
        <v>907</v>
      </c>
      <c r="H315" s="15"/>
      <c r="I315" s="15" t="str">
        <f>"Poptávka TURTO - "&amp;A315&amp;" - "&amp;IF(F315=data!$E$1,E315&amp;" - ","")&amp;G315&amp;" - "&amp;DAY(B315)&amp;"."&amp;MONTH(B315)&amp;"."&amp;YEAR(B315)</f>
        <v>Poptávka TURTO - Leviat - smyková výztuž - 15.4.2026</v>
      </c>
    </row>
    <row r="316" spans="1:9" s="14" customFormat="1">
      <c r="A316" s="15" t="s">
        <v>885</v>
      </c>
      <c r="B316" s="17">
        <v>46127</v>
      </c>
      <c r="C316" s="17">
        <v>46132</v>
      </c>
      <c r="D316" s="15" t="s">
        <v>269</v>
      </c>
      <c r="E316" s="15" t="s">
        <v>1006</v>
      </c>
      <c r="F316" s="15" t="s">
        <v>911</v>
      </c>
      <c r="G316" s="15" t="s">
        <v>906</v>
      </c>
      <c r="H316" s="15"/>
      <c r="I316" s="15" t="str">
        <f>"Poptávka TURTO - "&amp;A316&amp;" - "&amp;IF(F316=data!$E$1,E316&amp;" - ","")&amp;G316&amp;" - "&amp;DAY(B316)&amp;"."&amp;MONTH(B316)&amp;"."&amp;YEAR(B316)</f>
        <v>Poptávka TURTO - Leviat - Beroun Pískovna - izolační nosníky - 15.4.2026</v>
      </c>
    </row>
    <row r="317" spans="1:9" s="14" customFormat="1" ht="30">
      <c r="A317" s="15" t="s">
        <v>1137</v>
      </c>
      <c r="B317" s="17">
        <v>46127</v>
      </c>
      <c r="C317" s="17">
        <v>46134</v>
      </c>
      <c r="D317" s="15" t="s">
        <v>592</v>
      </c>
      <c r="E317" s="15" t="s">
        <v>1135</v>
      </c>
      <c r="F317" s="15" t="s">
        <v>912</v>
      </c>
      <c r="G317" s="15" t="s">
        <v>1136</v>
      </c>
      <c r="H317" s="15" t="s">
        <v>1170</v>
      </c>
      <c r="I317" s="15" t="str">
        <f>"Poptávka TURTO - "&amp;A317&amp;" - "&amp;IF(F317=data!$E$1,E317&amp;" - ","")&amp;G317&amp;" - "&amp;DAY(B317)&amp;"."&amp;MONTH(B317)&amp;"."&amp;YEAR(B317)</f>
        <v>Poptávka TURTO - marcador - BENTOMAT - 15.4.2026</v>
      </c>
    </row>
    <row r="318" spans="1:9" s="14" customFormat="1" ht="30">
      <c r="A318" s="15" t="s">
        <v>886</v>
      </c>
      <c r="B318" s="17">
        <v>46127</v>
      </c>
      <c r="C318" s="17">
        <v>46127</v>
      </c>
      <c r="D318" s="15" t="s">
        <v>635</v>
      </c>
      <c r="E318" s="15" t="s">
        <v>1132</v>
      </c>
      <c r="F318" s="15" t="s">
        <v>912</v>
      </c>
      <c r="G318" s="15" t="s">
        <v>1106</v>
      </c>
      <c r="H318" s="15"/>
      <c r="I318" s="15" t="str">
        <f>"Poptávka TURTO - "&amp;A318&amp;" - "&amp;IF(F318=data!$E$1,E318&amp;" - ","")&amp;G318&amp;" - "&amp;DAY(B318)&amp;"."&amp;MONTH(B318)&amp;"."&amp;YEAR(B318)</f>
        <v>Poptávka TURTO - PohlCon - PVC pásy - 15.4.2026</v>
      </c>
    </row>
    <row r="319" spans="1:9" s="14" customFormat="1" ht="30">
      <c r="A319" s="15" t="s">
        <v>887</v>
      </c>
      <c r="B319" s="17">
        <v>46127</v>
      </c>
      <c r="C319" s="17">
        <v>46127</v>
      </c>
      <c r="D319" s="15" t="s">
        <v>760</v>
      </c>
      <c r="E319" s="15" t="s">
        <v>1091</v>
      </c>
      <c r="F319" s="15" t="s">
        <v>912</v>
      </c>
      <c r="G319" s="15" t="s">
        <v>1043</v>
      </c>
      <c r="H319" s="15"/>
      <c r="I319" s="15" t="str">
        <f>"Poptávka TURTO - "&amp;A319&amp;" - "&amp;IF(F319=data!$E$1,E319&amp;" - ","")&amp;G319&amp;" - "&amp;DAY(B319)&amp;"."&amp;MONTH(B319)&amp;"."&amp;YEAR(B319)</f>
        <v>Poptávka TURTO - MaxFrank - akustika - 15.4.2026</v>
      </c>
    </row>
    <row r="320" spans="1:9" s="14" customFormat="1">
      <c r="A320" s="15" t="s">
        <v>885</v>
      </c>
      <c r="B320" s="17">
        <v>46127</v>
      </c>
      <c r="C320" s="17">
        <v>46127</v>
      </c>
      <c r="D320" s="15" t="s">
        <v>1134</v>
      </c>
      <c r="E320" s="15" t="s">
        <v>1133</v>
      </c>
      <c r="F320" s="15" t="s">
        <v>911</v>
      </c>
      <c r="G320" s="15" t="s">
        <v>906</v>
      </c>
      <c r="H320" s="15"/>
      <c r="I320" s="15" t="str">
        <f>"Poptávka TURTO - "&amp;A320&amp;" - "&amp;IF(F320=data!$E$1,E320&amp;" - ","")&amp;G320&amp;" - "&amp;DAY(B320)&amp;"."&amp;MONTH(B320)&amp;"."&amp;YEAR(B320)</f>
        <v>Poptávka TURTO - Leviat - Hangár letiště Čáslav - izolační nosníky - 15.4.2026</v>
      </c>
    </row>
    <row r="321" spans="1:9" s="14" customFormat="1">
      <c r="A321" s="15" t="s">
        <v>924</v>
      </c>
      <c r="B321" s="17">
        <v>46126</v>
      </c>
      <c r="C321" s="17">
        <v>46132</v>
      </c>
      <c r="D321" s="15" t="s">
        <v>1134</v>
      </c>
      <c r="E321" s="15" t="s">
        <v>1133</v>
      </c>
      <c r="F321" s="15" t="s">
        <v>912</v>
      </c>
      <c r="G321" s="15" t="s">
        <v>925</v>
      </c>
      <c r="H321" s="15"/>
      <c r="I321" s="15" t="str">
        <f>"Poptávka TURTO - "&amp;A321&amp;" - "&amp;IF(F321=data!$E$1,E321&amp;" - ","")&amp;G321&amp;" - "&amp;DAY(B321)&amp;"."&amp;MONTH(B321)&amp;"."&amp;YEAR(B321)</f>
        <v>Poptávka TURTO - GMYS - ISOLINK - 14.4.2026</v>
      </c>
    </row>
    <row r="322" spans="1:9" s="14" customFormat="1">
      <c r="A322" s="15" t="s">
        <v>885</v>
      </c>
      <c r="B322" s="17">
        <v>46126</v>
      </c>
      <c r="C322" s="17">
        <v>46127</v>
      </c>
      <c r="D322" s="15" t="s">
        <v>577</v>
      </c>
      <c r="E322" s="15" t="s">
        <v>6</v>
      </c>
      <c r="F322" s="15" t="s">
        <v>911</v>
      </c>
      <c r="G322" s="15" t="s">
        <v>906</v>
      </c>
      <c r="H322" s="15"/>
      <c r="I322" s="15" t="str">
        <f>"Poptávka TURTO - "&amp;A322&amp;" - "&amp;IF(F322=data!$E$1,E322&amp;" - ","")&amp;G322&amp;" - "&amp;DAY(B322)&amp;"."&amp;MONTH(B322)&amp;"."&amp;YEAR(B322)</f>
        <v>Poptávka TURTO - Leviat - Kaskády Barrandov - izolační nosníky - 14.4.2026</v>
      </c>
    </row>
    <row r="323" spans="1:9" s="14" customFormat="1" ht="30">
      <c r="A323" s="15" t="s">
        <v>885</v>
      </c>
      <c r="B323" s="17">
        <v>46126</v>
      </c>
      <c r="C323" s="17">
        <v>46127</v>
      </c>
      <c r="D323" s="15" t="s">
        <v>475</v>
      </c>
      <c r="E323" s="15" t="s">
        <v>951</v>
      </c>
      <c r="F323" s="15" t="s">
        <v>911</v>
      </c>
      <c r="G323" s="15" t="s">
        <v>906</v>
      </c>
      <c r="H323" s="15"/>
      <c r="I323" s="15" t="str">
        <f>"Poptávka TURTO - "&amp;A323&amp;" - "&amp;IF(F323=data!$E$1,E323&amp;" - ","")&amp;G323&amp;" - "&amp;DAY(B323)&amp;"."&amp;MONTH(B323)&amp;"."&amp;YEAR(B323)</f>
        <v>Poptávka TURTO - Leviat - BD 11 Máchovna - izolační nosníky - 14.4.2026</v>
      </c>
    </row>
    <row r="324" spans="1:9" s="14" customFormat="1" ht="30">
      <c r="A324" s="15" t="s">
        <v>885</v>
      </c>
      <c r="B324" s="17">
        <v>46125</v>
      </c>
      <c r="C324" s="17">
        <v>46125</v>
      </c>
      <c r="D324" s="15" t="s">
        <v>708</v>
      </c>
      <c r="E324" s="15" t="s">
        <v>1100</v>
      </c>
      <c r="F324" s="15" t="s">
        <v>912</v>
      </c>
      <c r="G324" s="15" t="s">
        <v>906</v>
      </c>
      <c r="H324" s="15"/>
      <c r="I324" s="15" t="str">
        <f>"Poptávka TURTO - "&amp;A324&amp;" - "&amp;IF(F324=data!$E$1,E324&amp;" - ","")&amp;G324&amp;" - "&amp;DAY(B324)&amp;"."&amp;MONTH(B324)&amp;"."&amp;YEAR(B324)</f>
        <v>Poptávka TURTO - Leviat - izolační nosníky - 13.4.2026</v>
      </c>
    </row>
    <row r="325" spans="1:9" s="14" customFormat="1">
      <c r="A325" s="15" t="s">
        <v>886</v>
      </c>
      <c r="B325" s="17">
        <v>46125</v>
      </c>
      <c r="C325" s="17">
        <v>46125</v>
      </c>
      <c r="D325" s="15" t="s">
        <v>577</v>
      </c>
      <c r="E325" s="15" t="s">
        <v>1117</v>
      </c>
      <c r="F325" s="15" t="s">
        <v>912</v>
      </c>
      <c r="G325" s="15" t="s">
        <v>1131</v>
      </c>
      <c r="H325" s="15"/>
      <c r="I325" s="15" t="str">
        <f>"Poptávka TURTO - "&amp;A325&amp;" - "&amp;IF(F325=data!$E$1,E325&amp;" - ","")&amp;G325&amp;" - "&amp;DAY(B325)&amp;"."&amp;MONTH(B325)&amp;"."&amp;YEAR(B325)</f>
        <v>Poptávka TURTO - PohlCon - vlnová kotva - 13.4.2026</v>
      </c>
    </row>
    <row r="326" spans="1:9" s="14" customFormat="1">
      <c r="A326" s="15" t="s">
        <v>886</v>
      </c>
      <c r="B326" s="17">
        <v>46122</v>
      </c>
      <c r="C326" s="17">
        <v>46122</v>
      </c>
      <c r="D326" s="15" t="s">
        <v>264</v>
      </c>
      <c r="E326" s="15" t="s">
        <v>1044</v>
      </c>
      <c r="F326" s="15" t="s">
        <v>912</v>
      </c>
      <c r="G326" s="15" t="s">
        <v>907</v>
      </c>
      <c r="H326" s="15"/>
      <c r="I326" s="15" t="str">
        <f>"Poptávka TURTO - "&amp;A326&amp;" - "&amp;IF(F326=data!$E$1,E326&amp;" - ","")&amp;G326&amp;" - "&amp;DAY(B326)&amp;"."&amp;MONTH(B326)&amp;"."&amp;YEAR(B326)</f>
        <v>Poptávka TURTO - PohlCon - smyková výztuž - 10.4.2026</v>
      </c>
    </row>
    <row r="327" spans="1:9" s="14" customFormat="1">
      <c r="A327" s="15" t="s">
        <v>889</v>
      </c>
      <c r="B327" s="17">
        <v>46122</v>
      </c>
      <c r="C327" s="17">
        <v>46122</v>
      </c>
      <c r="D327" s="15" t="s">
        <v>264</v>
      </c>
      <c r="E327" s="15" t="s">
        <v>1044</v>
      </c>
      <c r="F327" s="15" t="s">
        <v>912</v>
      </c>
      <c r="G327" s="15" t="s">
        <v>907</v>
      </c>
      <c r="H327" s="15"/>
      <c r="I327" s="15" t="str">
        <f>"Poptávka TURTO - "&amp;A327&amp;" - "&amp;IF(F327=data!$E$1,E327&amp;" - ","")&amp;G327&amp;" - "&amp;DAY(B327)&amp;"."&amp;MONTH(B327)&amp;"."&amp;YEAR(B327)</f>
        <v>Poptávka TURTO - Peikko - smyková výztuž - 10.4.2026</v>
      </c>
    </row>
    <row r="328" spans="1:9" s="14" customFormat="1" ht="30">
      <c r="A328" s="15" t="s">
        <v>885</v>
      </c>
      <c r="B328" s="17">
        <v>46122</v>
      </c>
      <c r="C328" s="17">
        <v>46122</v>
      </c>
      <c r="D328" s="15" t="s">
        <v>584</v>
      </c>
      <c r="E328" s="15" t="s">
        <v>1129</v>
      </c>
      <c r="F328" s="15" t="s">
        <v>911</v>
      </c>
      <c r="G328" s="15" t="s">
        <v>906</v>
      </c>
      <c r="H328" s="15"/>
      <c r="I328" s="15" t="str">
        <f>"Poptávka TURTO - "&amp;A328&amp;" - "&amp;IF(F328=data!$E$1,E328&amp;" - ","")&amp;G328&amp;" - "&amp;DAY(B328)&amp;"."&amp;MONTH(B328)&amp;"."&amp;YEAR(B328)</f>
        <v>Poptávka TURTO - Leviat - BD Soběslav - izolační nosníky - 10.4.2026</v>
      </c>
    </row>
    <row r="329" spans="1:9" s="14" customFormat="1">
      <c r="A329" s="15" t="s">
        <v>885</v>
      </c>
      <c r="B329" s="17">
        <v>46121</v>
      </c>
      <c r="C329" s="17">
        <v>46122</v>
      </c>
      <c r="D329" s="15" t="s">
        <v>250</v>
      </c>
      <c r="E329" s="15" t="s">
        <v>943</v>
      </c>
      <c r="F329" s="15" t="s">
        <v>911</v>
      </c>
      <c r="G329" s="15" t="s">
        <v>906</v>
      </c>
      <c r="H329" s="15"/>
      <c r="I329" s="15" t="str">
        <f>"Poptávka TURTO - "&amp;A329&amp;" - "&amp;IF(F329=data!$E$1,E329&amp;" - ","")&amp;G329&amp;" - "&amp;DAY(B329)&amp;"."&amp;MONTH(B329)&amp;"."&amp;YEAR(B329)</f>
        <v>Poptávka TURTO - Leviat - BD Rokycany - izolační nosníky - 9.4.2026</v>
      </c>
    </row>
    <row r="330" spans="1:9" s="14" customFormat="1" ht="30">
      <c r="A330" s="15" t="s">
        <v>885</v>
      </c>
      <c r="B330" s="17">
        <v>46121</v>
      </c>
      <c r="C330" s="17">
        <v>46132</v>
      </c>
      <c r="D330" s="15" t="s">
        <v>499</v>
      </c>
      <c r="E330" s="15" t="s">
        <v>1127</v>
      </c>
      <c r="F330" s="15" t="s">
        <v>911</v>
      </c>
      <c r="G330" s="15" t="s">
        <v>906</v>
      </c>
      <c r="H330" s="15"/>
      <c r="I330" s="15" t="str">
        <f>"Poptávka TURTO - "&amp;A330&amp;" - "&amp;IF(F330=data!$E$1,E330&amp;" - ","")&amp;G330&amp;" - "&amp;DAY(B330)&amp;"."&amp;MONTH(B330)&amp;"."&amp;YEAR(B330)</f>
        <v>Poptávka TURTO - Leviat - Domov pro seniory Litomyšl - izolační nosníky - 9.4.2026</v>
      </c>
    </row>
    <row r="331" spans="1:9" s="14" customFormat="1" ht="30">
      <c r="A331" s="15" t="s">
        <v>890</v>
      </c>
      <c r="B331" s="17">
        <v>46121</v>
      </c>
      <c r="C331" s="17">
        <v>46125</v>
      </c>
      <c r="D331" s="15" t="s">
        <v>760</v>
      </c>
      <c r="E331" s="15" t="s">
        <v>65</v>
      </c>
      <c r="F331" s="15" t="s">
        <v>912</v>
      </c>
      <c r="G331" s="15" t="s">
        <v>1126</v>
      </c>
      <c r="H331" s="15"/>
      <c r="I331" s="15" t="str">
        <f>"Poptávka TURTO - "&amp;A331&amp;" - "&amp;IF(F331=data!$E$1,E331&amp;" - ","")&amp;G331&amp;" - "&amp;DAY(B331)&amp;"."&amp;MONTH(B331)&amp;"."&amp;YEAR(B331)</f>
        <v>Poptávka TURTO - Pro-Doma - spojky výztuže - 9.4.2026</v>
      </c>
    </row>
    <row r="332" spans="1:9" s="14" customFormat="1">
      <c r="A332" s="15" t="s">
        <v>889</v>
      </c>
      <c r="B332" s="17">
        <v>46121</v>
      </c>
      <c r="C332" s="17">
        <v>46122</v>
      </c>
      <c r="D332" s="15" t="s">
        <v>760</v>
      </c>
      <c r="E332" s="15" t="s">
        <v>65</v>
      </c>
      <c r="F332" s="15" t="s">
        <v>912</v>
      </c>
      <c r="G332" s="15" t="s">
        <v>1126</v>
      </c>
      <c r="H332" s="15"/>
      <c r="I332" s="15" t="str">
        <f>"Poptávka TURTO - "&amp;A332&amp;" - "&amp;IF(F332=data!$E$1,E332&amp;" - ","")&amp;G332&amp;" - "&amp;DAY(B332)&amp;"."&amp;MONTH(B332)&amp;"."&amp;YEAR(B332)</f>
        <v>Poptávka TURTO - Peikko - spojky výztuže - 9.4.2026</v>
      </c>
    </row>
    <row r="333" spans="1:9" s="14" customFormat="1">
      <c r="A333" s="15" t="s">
        <v>885</v>
      </c>
      <c r="B333" s="17">
        <v>46121</v>
      </c>
      <c r="C333" s="17">
        <v>46132</v>
      </c>
      <c r="D333" s="15" t="s">
        <v>577</v>
      </c>
      <c r="E333" s="15" t="s">
        <v>1117</v>
      </c>
      <c r="F333" s="15" t="s">
        <v>911</v>
      </c>
      <c r="G333" s="15" t="s">
        <v>906</v>
      </c>
      <c r="H333" s="15"/>
      <c r="I333" s="15" t="str">
        <f>"Poptávka TURTO - "&amp;A333&amp;" - "&amp;IF(F333=data!$E$1,E333&amp;" - ","")&amp;G333&amp;" - "&amp;DAY(B333)&amp;"."&amp;MONTH(B333)&amp;"."&amp;YEAR(B333)</f>
        <v>Poptávka TURTO - Leviat - Hotel Havel Krč - izolační nosníky - 9.4.2026</v>
      </c>
    </row>
    <row r="334" spans="1:9" s="14" customFormat="1">
      <c r="A334" s="15" t="s">
        <v>888</v>
      </c>
      <c r="B334" s="17">
        <v>46121</v>
      </c>
      <c r="C334" s="17">
        <v>46122</v>
      </c>
      <c r="D334" s="15" t="s">
        <v>183</v>
      </c>
      <c r="E334" s="15" t="s">
        <v>1124</v>
      </c>
      <c r="F334" s="15" t="s">
        <v>911</v>
      </c>
      <c r="G334" s="15" t="s">
        <v>909</v>
      </c>
      <c r="H334" s="15"/>
      <c r="I334" s="15" t="str">
        <f>"Poptávka TURTO - "&amp;A334&amp;" - "&amp;IF(F334=data!$E$1,E334&amp;" - ","")&amp;G334&amp;" - "&amp;DAY(B334)&amp;"."&amp;MONTH(B334)&amp;"."&amp;YEAR(B334)</f>
        <v>Poptávka TURTO - GeroTop - BD Jateční 37 - prostupy - 9.4.2026</v>
      </c>
    </row>
    <row r="335" spans="1:9" s="14" customFormat="1">
      <c r="A335" s="15" t="s">
        <v>885</v>
      </c>
      <c r="B335" s="17">
        <v>46121</v>
      </c>
      <c r="C335" s="17">
        <v>46121</v>
      </c>
      <c r="D335" s="15" t="s">
        <v>183</v>
      </c>
      <c r="E335" s="15" t="s">
        <v>1124</v>
      </c>
      <c r="F335" s="15" t="s">
        <v>911</v>
      </c>
      <c r="G335" s="15" t="s">
        <v>906</v>
      </c>
      <c r="H335" s="15"/>
      <c r="I335" s="15" t="str">
        <f>"Poptávka TURTO - "&amp;A335&amp;" - "&amp;IF(F335=data!$E$1,E335&amp;" - ","")&amp;G335&amp;" - "&amp;DAY(B335)&amp;"."&amp;MONTH(B335)&amp;"."&amp;YEAR(B335)</f>
        <v>Poptávka TURTO - Leviat - BD Jateční 37 - izolační nosníky - 9.4.2026</v>
      </c>
    </row>
    <row r="336" spans="1:9" s="14" customFormat="1">
      <c r="A336" s="15" t="s">
        <v>885</v>
      </c>
      <c r="B336" s="17">
        <v>46121</v>
      </c>
      <c r="C336" s="17">
        <v>46121</v>
      </c>
      <c r="D336" s="15" t="s">
        <v>577</v>
      </c>
      <c r="E336" s="15" t="s">
        <v>937</v>
      </c>
      <c r="F336" s="15" t="s">
        <v>911</v>
      </c>
      <c r="G336" s="15" t="s">
        <v>906</v>
      </c>
      <c r="H336" s="15"/>
      <c r="I336" s="15" t="str">
        <f>"Poptávka TURTO - "&amp;A336&amp;" - "&amp;IF(F336=data!$E$1,E336&amp;" - ","")&amp;G336&amp;" - "&amp;DAY(B336)&amp;"."&amp;MONTH(B336)&amp;"."&amp;YEAR(B336)</f>
        <v>Poptávka TURTO - Leviat - BD Parmská - izolační nosníky - 9.4.2026</v>
      </c>
    </row>
    <row r="337" spans="1:9" s="14" customFormat="1" ht="30">
      <c r="A337" s="15" t="s">
        <v>886</v>
      </c>
      <c r="B337" s="17">
        <v>46121</v>
      </c>
      <c r="C337" s="17">
        <v>46121</v>
      </c>
      <c r="D337" s="15" t="s">
        <v>760</v>
      </c>
      <c r="E337" s="15" t="s">
        <v>1091</v>
      </c>
      <c r="F337" s="15" t="s">
        <v>912</v>
      </c>
      <c r="G337" s="15" t="s">
        <v>64</v>
      </c>
      <c r="H337" s="15"/>
      <c r="I337" s="15" t="str">
        <f>"Poptávka TURTO - "&amp;A337&amp;" - "&amp;IF(F337=data!$E$1,E337&amp;" - ","")&amp;G337&amp;" - "&amp;DAY(B337)&amp;"."&amp;MONTH(B337)&amp;"."&amp;YEAR(B337)</f>
        <v>Poptávka TURTO - PohlCon - smykové trny - 9.4.2026</v>
      </c>
    </row>
    <row r="338" spans="1:9" s="14" customFormat="1" ht="30">
      <c r="A338" s="15" t="s">
        <v>885</v>
      </c>
      <c r="B338" s="17">
        <v>46121</v>
      </c>
      <c r="C338" s="17">
        <v>46122</v>
      </c>
      <c r="D338" s="15" t="s">
        <v>760</v>
      </c>
      <c r="E338" s="15" t="s">
        <v>1091</v>
      </c>
      <c r="F338" s="15" t="s">
        <v>911</v>
      </c>
      <c r="G338" s="15" t="s">
        <v>906</v>
      </c>
      <c r="H338" s="15"/>
      <c r="I338" s="15" t="str">
        <f>"Poptávka TURTO - "&amp;A338&amp;" - "&amp;IF(F338=data!$E$1,E338&amp;" - ","")&amp;G338&amp;" - "&amp;DAY(B338)&amp;"."&amp;MONTH(B338)&amp;"."&amp;YEAR(B338)</f>
        <v>Poptávka TURTO - Leviat - Víceúčelová budova Úvalská - izolační nosníky - 9.4.2026</v>
      </c>
    </row>
    <row r="339" spans="1:9" s="14" customFormat="1" ht="30">
      <c r="A339" s="15" t="s">
        <v>889</v>
      </c>
      <c r="B339" s="17">
        <v>46121</v>
      </c>
      <c r="C339" s="17">
        <v>46127</v>
      </c>
      <c r="D339" s="15" t="s">
        <v>760</v>
      </c>
      <c r="E339" s="15" t="s">
        <v>1091</v>
      </c>
      <c r="F339" s="15" t="s">
        <v>912</v>
      </c>
      <c r="G339" s="15" t="s">
        <v>907</v>
      </c>
      <c r="H339" s="15"/>
      <c r="I339" s="15" t="str">
        <f>"Poptávka TURTO - "&amp;A339&amp;" - "&amp;IF(F339=data!$E$1,E339&amp;" - ","")&amp;G339&amp;" - "&amp;DAY(B339)&amp;"."&amp;MONTH(B339)&amp;"."&amp;YEAR(B339)</f>
        <v>Poptávka TURTO - Peikko - smyková výztuž - 9.4.2026</v>
      </c>
    </row>
    <row r="340" spans="1:9" s="14" customFormat="1" ht="30">
      <c r="A340" s="15" t="s">
        <v>885</v>
      </c>
      <c r="B340" s="17">
        <v>46121</v>
      </c>
      <c r="C340" s="17">
        <v>46122</v>
      </c>
      <c r="D340" s="15" t="s">
        <v>373</v>
      </c>
      <c r="E340" s="15" t="s">
        <v>1123</v>
      </c>
      <c r="F340" s="15" t="s">
        <v>911</v>
      </c>
      <c r="G340" s="15" t="s">
        <v>906</v>
      </c>
      <c r="H340" s="15" t="s">
        <v>1081</v>
      </c>
      <c r="I340" s="15" t="str">
        <f>"Poptávka TURTO - "&amp;A340&amp;" - "&amp;IF(F340=data!$E$1,E340&amp;" - ","")&amp;G340&amp;" - "&amp;DAY(B340)&amp;"."&amp;MONTH(B340)&amp;"."&amp;YEAR(B340)</f>
        <v>Poptávka TURTO - Leviat - RD Lidická - izolační nosníky - 9.4.2026</v>
      </c>
    </row>
    <row r="341" spans="1:9" s="14" customFormat="1">
      <c r="A341" s="15" t="s">
        <v>885</v>
      </c>
      <c r="B341" s="17">
        <v>46121</v>
      </c>
      <c r="C341" s="17">
        <v>46122</v>
      </c>
      <c r="D341" s="15" t="s">
        <v>196</v>
      </c>
      <c r="E341" s="15" t="s">
        <v>1121</v>
      </c>
      <c r="F341" s="15" t="s">
        <v>911</v>
      </c>
      <c r="G341" s="15" t="s">
        <v>906</v>
      </c>
      <c r="H341" s="15"/>
      <c r="I341" s="15" t="str">
        <f>"Poptávka TURTO - "&amp;A341&amp;" - "&amp;IF(F341=data!$E$1,E341&amp;" - ","")&amp;G341&amp;" - "&amp;DAY(B341)&amp;"."&amp;MONTH(B341)&amp;"."&amp;YEAR(B341)</f>
        <v>Poptávka TURTO - Leviat - RD Vesec - izolační nosníky - 9.4.2026</v>
      </c>
    </row>
    <row r="342" spans="1:9" s="14" customFormat="1">
      <c r="A342" s="15" t="s">
        <v>1120</v>
      </c>
      <c r="B342" s="17">
        <v>46121</v>
      </c>
      <c r="C342" s="17">
        <v>46133</v>
      </c>
      <c r="D342" s="15" t="s">
        <v>811</v>
      </c>
      <c r="E342" s="15" t="s">
        <v>1093</v>
      </c>
      <c r="F342" s="15" t="s">
        <v>912</v>
      </c>
      <c r="G342" s="15" t="s">
        <v>907</v>
      </c>
      <c r="H342" s="15"/>
      <c r="I342" s="15" t="str">
        <f>"Poptávka TURTO - "&amp;A342&amp;" - "&amp;IF(F342=data!$E$1,E342&amp;" - ","")&amp;G342&amp;" - "&amp;DAY(B342)&amp;"."&amp;MONTH(B342)&amp;"."&amp;YEAR(B342)</f>
        <v>Poptávka TURTO - PERI - smyková výztuž - 9.4.2026</v>
      </c>
    </row>
    <row r="343" spans="1:9" s="14" customFormat="1">
      <c r="A343" s="15" t="s">
        <v>885</v>
      </c>
      <c r="B343" s="17">
        <v>46121</v>
      </c>
      <c r="C343" s="17">
        <v>46122</v>
      </c>
      <c r="D343" s="15" t="s">
        <v>269</v>
      </c>
      <c r="E343" s="15" t="s">
        <v>1119</v>
      </c>
      <c r="F343" s="15" t="s">
        <v>911</v>
      </c>
      <c r="G343" s="15" t="s">
        <v>906</v>
      </c>
      <c r="H343" s="15"/>
      <c r="I343" s="15" t="str">
        <f>"Poptávka TURTO - "&amp;A343&amp;" - "&amp;IF(F343=data!$E$1,E343&amp;" - ","")&amp;G343&amp;" - "&amp;DAY(B343)&amp;"."&amp;MONTH(B343)&amp;"."&amp;YEAR(B343)</f>
        <v>Poptávka TURTO - Leviat - Na Homoli - izolační nosníky - 9.4.2026</v>
      </c>
    </row>
    <row r="344" spans="1:9" s="14" customFormat="1" ht="30">
      <c r="A344" s="15" t="s">
        <v>885</v>
      </c>
      <c r="B344" s="17">
        <v>46120</v>
      </c>
      <c r="C344" s="17">
        <v>46121</v>
      </c>
      <c r="D344" s="15" t="s">
        <v>97</v>
      </c>
      <c r="E344" s="15" t="s">
        <v>1116</v>
      </c>
      <c r="F344" s="15" t="s">
        <v>911</v>
      </c>
      <c r="G344" s="15" t="s">
        <v>906</v>
      </c>
      <c r="H344" s="15"/>
      <c r="I344" s="15" t="str">
        <f>"Poptávka TURTO - "&amp;A344&amp;" - "&amp;IF(F344=data!$E$1,E344&amp;" - ","")&amp;G344&amp;" - "&amp;DAY(B344)&amp;"."&amp;MONTH(B344)&amp;"."&amp;YEAR(B344)</f>
        <v>Poptávka TURTO - Leviat - BD Turbova - izolační nosníky - 8.4.2026</v>
      </c>
    </row>
    <row r="345" spans="1:9" s="14" customFormat="1">
      <c r="A345" s="15" t="s">
        <v>889</v>
      </c>
      <c r="B345" s="17">
        <v>46120</v>
      </c>
      <c r="C345" s="17">
        <v>46120</v>
      </c>
      <c r="D345" s="15" t="s">
        <v>811</v>
      </c>
      <c r="E345" s="15" t="s">
        <v>1093</v>
      </c>
      <c r="F345" s="15" t="s">
        <v>912</v>
      </c>
      <c r="G345" s="15" t="s">
        <v>907</v>
      </c>
      <c r="H345" s="15" t="s">
        <v>1118</v>
      </c>
      <c r="I345" s="15" t="str">
        <f>"Poptávka TURTO - "&amp;A345&amp;" - "&amp;IF(F345=data!$E$1,E345&amp;" - ","")&amp;G345&amp;" - "&amp;DAY(B345)&amp;"."&amp;MONTH(B345)&amp;"."&amp;YEAR(B345)</f>
        <v>Poptávka TURTO - Peikko - smyková výztuž - 8.4.2026</v>
      </c>
    </row>
    <row r="346" spans="1:9" s="14" customFormat="1">
      <c r="A346" s="15" t="s">
        <v>886</v>
      </c>
      <c r="B346" s="17">
        <v>46120</v>
      </c>
      <c r="C346" s="17"/>
      <c r="D346" s="15" t="s">
        <v>811</v>
      </c>
      <c r="E346" s="15" t="s">
        <v>1093</v>
      </c>
      <c r="F346" s="15" t="s">
        <v>912</v>
      </c>
      <c r="G346" s="15" t="s">
        <v>907</v>
      </c>
      <c r="H346" s="15"/>
      <c r="I346" s="15" t="str">
        <f>"Poptávka TURTO - "&amp;A346&amp;" - "&amp;IF(F346=data!$E$1,E346&amp;" - ","")&amp;G346&amp;" - "&amp;DAY(B346)&amp;"."&amp;MONTH(B346)&amp;"."&amp;YEAR(B346)</f>
        <v>Poptávka TURTO - PohlCon - smyková výztuž - 8.4.2026</v>
      </c>
    </row>
    <row r="347" spans="1:9" s="14" customFormat="1">
      <c r="A347" s="15" t="s">
        <v>924</v>
      </c>
      <c r="B347" s="17">
        <v>46120</v>
      </c>
      <c r="C347" s="17">
        <v>46132</v>
      </c>
      <c r="D347" s="15" t="s">
        <v>592</v>
      </c>
      <c r="E347" s="15" t="s">
        <v>1115</v>
      </c>
      <c r="F347" s="15" t="s">
        <v>911</v>
      </c>
      <c r="G347" s="15" t="s">
        <v>906</v>
      </c>
      <c r="H347" s="15"/>
      <c r="I347" s="15" t="str">
        <f>"Poptávka TURTO - "&amp;A347&amp;" - "&amp;IF(F347=data!$E$1,E347&amp;" - ","")&amp;G347&amp;" - "&amp;DAY(B347)&amp;"."&amp;MONTH(B347)&amp;"."&amp;YEAR(B347)</f>
        <v>Poptávka TURTO - GMYS - RD Dolní Chabry - izolační nosníky - 8.4.2026</v>
      </c>
    </row>
    <row r="348" spans="1:9" s="14" customFormat="1">
      <c r="A348" s="15" t="s">
        <v>924</v>
      </c>
      <c r="B348" s="17">
        <v>46120</v>
      </c>
      <c r="C348" s="17">
        <v>46123</v>
      </c>
      <c r="D348" s="15" t="s">
        <v>620</v>
      </c>
      <c r="E348" s="15" t="s">
        <v>61</v>
      </c>
      <c r="F348" s="15" t="s">
        <v>911</v>
      </c>
      <c r="G348" s="15" t="s">
        <v>906</v>
      </c>
      <c r="H348" s="15"/>
      <c r="I348" s="15" t="str">
        <f>"Poptávka TURTO - "&amp;A348&amp;" - "&amp;IF(F348=data!$E$1,E348&amp;" - ","")&amp;G348&amp;" - "&amp;DAY(B348)&amp;"."&amp;MONTH(B348)&amp;"."&amp;YEAR(B348)</f>
        <v>Poptávka TURTO - GMYS - Hotel Hladina - izolační nosníky - 8.4.2026</v>
      </c>
    </row>
    <row r="349" spans="1:9" s="14" customFormat="1">
      <c r="A349" s="15" t="s">
        <v>885</v>
      </c>
      <c r="B349" s="17">
        <v>46119</v>
      </c>
      <c r="C349" s="17">
        <v>46120</v>
      </c>
      <c r="D349" s="15" t="s">
        <v>1112</v>
      </c>
      <c r="E349" s="15" t="s">
        <v>1113</v>
      </c>
      <c r="F349" s="15" t="s">
        <v>911</v>
      </c>
      <c r="G349" s="15" t="s">
        <v>906</v>
      </c>
      <c r="H349" s="15"/>
      <c r="I349" s="15" t="str">
        <f>"Poptávka TURTO - "&amp;A349&amp;" - "&amp;IF(F349=data!$E$1,E349&amp;" - ","")&amp;G349&amp;" - "&amp;DAY(B349)&amp;"."&amp;MONTH(B349)&amp;"."&amp;YEAR(B349)</f>
        <v>Poptávka TURTO - Leviat - RD Teplice - izolační nosníky - 7.4.2026</v>
      </c>
    </row>
    <row r="350" spans="1:9" s="14" customFormat="1" ht="30">
      <c r="A350" s="15" t="s">
        <v>886</v>
      </c>
      <c r="B350" s="17">
        <v>46119</v>
      </c>
      <c r="C350" s="17">
        <v>46119</v>
      </c>
      <c r="D350" s="15" t="s">
        <v>475</v>
      </c>
      <c r="E350" s="15" t="s">
        <v>926</v>
      </c>
      <c r="F350" s="15" t="s">
        <v>912</v>
      </c>
      <c r="G350" s="15" t="s">
        <v>1114</v>
      </c>
      <c r="H350" s="15"/>
      <c r="I350" s="15" t="str">
        <f>"Poptávka TURTO - "&amp;A350&amp;" - "&amp;IF(F350=data!$E$1,E350&amp;" - ","")&amp;G350&amp;" - "&amp;DAY(B350)&amp;"."&amp;MONTH(B350)&amp;"."&amp;YEAR(B350)</f>
        <v>Poptávka TURTO - PohlCon - kotevní body - 7.4.2026</v>
      </c>
    </row>
    <row r="351" spans="1:9" s="14" customFormat="1">
      <c r="A351" s="15" t="s">
        <v>885</v>
      </c>
      <c r="B351" s="17">
        <v>46114</v>
      </c>
      <c r="C351" s="17">
        <v>46114</v>
      </c>
      <c r="D351" s="15" t="s">
        <v>375</v>
      </c>
      <c r="E351" s="15" t="s">
        <v>900</v>
      </c>
      <c r="F351" s="15" t="s">
        <v>911</v>
      </c>
      <c r="G351" s="15" t="s">
        <v>906</v>
      </c>
      <c r="H351" s="15"/>
      <c r="I351" s="15" t="str">
        <f>"Poptávka TURTO - "&amp;A351&amp;" - "&amp;IF(F351=data!$E$1,E351&amp;" - ","")&amp;G351&amp;" - "&amp;DAY(B351)&amp;"."&amp;MONTH(B351)&amp;"."&amp;YEAR(B351)</f>
        <v>Poptávka TURTO - Leviat - RD Vonoklasy - izolační nosníky - 2.4.2026</v>
      </c>
    </row>
    <row r="352" spans="1:9" s="14" customFormat="1" ht="30">
      <c r="A352" s="15" t="s">
        <v>886</v>
      </c>
      <c r="B352" s="17">
        <v>46113</v>
      </c>
      <c r="C352" s="17">
        <v>46113</v>
      </c>
      <c r="D352" s="15" t="s">
        <v>760</v>
      </c>
      <c r="E352" s="15" t="s">
        <v>1091</v>
      </c>
      <c r="F352" s="15" t="s">
        <v>912</v>
      </c>
      <c r="G352" s="15" t="s">
        <v>1106</v>
      </c>
      <c r="H352" s="15"/>
      <c r="I352" s="15" t="str">
        <f>"Poptávka TURTO - "&amp;A352&amp;" - "&amp;IF(F352=data!$E$1,E352&amp;" - ","")&amp;G352&amp;" - "&amp;DAY(B352)&amp;"."&amp;MONTH(B352)&amp;"."&amp;YEAR(B352)</f>
        <v>Poptávka TURTO - PohlCon - PVC pásy - 1.4.2026</v>
      </c>
    </row>
    <row r="353" spans="1:9" s="14" customFormat="1" ht="30">
      <c r="A353" s="15" t="s">
        <v>888</v>
      </c>
      <c r="B353" s="17">
        <v>46113</v>
      </c>
      <c r="C353" s="17">
        <v>46113</v>
      </c>
      <c r="D353" s="15" t="s">
        <v>475</v>
      </c>
      <c r="E353" s="15" t="s">
        <v>951</v>
      </c>
      <c r="F353" s="15" t="s">
        <v>912</v>
      </c>
      <c r="G353" s="15" t="s">
        <v>909</v>
      </c>
      <c r="H353" s="15"/>
      <c r="I353" s="15" t="str">
        <f>"Poptávka TURTO - "&amp;A353&amp;" - "&amp;IF(F353=data!$E$1,E353&amp;" - ","")&amp;G353&amp;" - "&amp;DAY(B353)&amp;"."&amp;MONTH(B353)&amp;"."&amp;YEAR(B353)</f>
        <v>Poptávka TURTO - GeroTop - prostupy - 1.4.2026</v>
      </c>
    </row>
    <row r="354" spans="1:9" s="14" customFormat="1">
      <c r="A354" s="15" t="s">
        <v>885</v>
      </c>
      <c r="B354" s="17">
        <v>46113</v>
      </c>
      <c r="C354" s="17">
        <v>46113</v>
      </c>
      <c r="D354" s="15" t="s">
        <v>776</v>
      </c>
      <c r="E354" s="15" t="s">
        <v>1100</v>
      </c>
      <c r="F354" s="15" t="s">
        <v>911</v>
      </c>
      <c r="G354" s="15" t="s">
        <v>906</v>
      </c>
      <c r="H354" s="15"/>
      <c r="I354" s="15" t="str">
        <f>"Poptávka TURTO - "&amp;A354&amp;" - "&amp;IF(F354=data!$E$1,E354&amp;" - ","")&amp;G354&amp;" - "&amp;DAY(B354)&amp;"."&amp;MONTH(B354)&amp;"."&amp;YEAR(B354)</f>
        <v>Poptávka TURTO - Leviat - akce neznámá - izolační nosníky - 1.4.2026</v>
      </c>
    </row>
    <row r="355" spans="1:9" s="14" customFormat="1" ht="30">
      <c r="A355" s="15" t="s">
        <v>885</v>
      </c>
      <c r="B355" s="17">
        <v>46113</v>
      </c>
      <c r="C355" s="17">
        <v>46120</v>
      </c>
      <c r="D355" s="15" t="s">
        <v>635</v>
      </c>
      <c r="E355" s="15" t="s">
        <v>1104</v>
      </c>
      <c r="F355" s="15" t="s">
        <v>911</v>
      </c>
      <c r="G355" s="15" t="s">
        <v>906</v>
      </c>
      <c r="H355" s="15"/>
      <c r="I355" s="15" t="str">
        <f>"Poptávka TURTO - "&amp;A355&amp;" - "&amp;IF(F355=data!$E$1,E355&amp;" - ","")&amp;G355&amp;" - "&amp;DAY(B355)&amp;"."&amp;MONTH(B355)&amp;"."&amp;YEAR(B355)</f>
        <v>Poptávka TURTO - Leviat - Rohan City - Sekce A - izolační nosníky - 1.4.2026</v>
      </c>
    </row>
    <row r="356" spans="1:9" s="14" customFormat="1">
      <c r="A356" s="15" t="s">
        <v>885</v>
      </c>
      <c r="B356" s="17">
        <v>46113</v>
      </c>
      <c r="C356" s="17">
        <v>46113</v>
      </c>
      <c r="D356" s="15" t="s">
        <v>138</v>
      </c>
      <c r="E356" s="15" t="s">
        <v>9</v>
      </c>
      <c r="F356" s="15" t="s">
        <v>912</v>
      </c>
      <c r="G356" s="15" t="s">
        <v>1103</v>
      </c>
      <c r="H356" s="15" t="s">
        <v>1107</v>
      </c>
      <c r="I356" s="15" t="str">
        <f>"Poptávka TURTO - "&amp;A356&amp;" - "&amp;IF(F356=data!$E$1,E356&amp;" - ","")&amp;G356&amp;" - "&amp;DAY(B356)&amp;"."&amp;MONTH(B356)&amp;"."&amp;YEAR(B356)</f>
        <v>Poptávka TURTO - Leviat - Halfen Deha - 1.4.2026</v>
      </c>
    </row>
    <row r="357" spans="1:9" s="14" customFormat="1">
      <c r="A357" s="15" t="s">
        <v>888</v>
      </c>
      <c r="B357" s="17">
        <v>46113</v>
      </c>
      <c r="C357" s="17">
        <v>46113</v>
      </c>
      <c r="D357" s="15" t="s">
        <v>747</v>
      </c>
      <c r="E357" s="15" t="s">
        <v>1037</v>
      </c>
      <c r="F357" s="15" t="s">
        <v>912</v>
      </c>
      <c r="G357" s="15" t="s">
        <v>909</v>
      </c>
      <c r="H357" s="15"/>
      <c r="I357" s="15" t="str">
        <f>"Poptávka TURTO - "&amp;A357&amp;" - "&amp;IF(F357=data!$E$1,E357&amp;" - ","")&amp;G357&amp;" - "&amp;DAY(B357)&amp;"."&amp;MONTH(B357)&amp;"."&amp;YEAR(B357)</f>
        <v>Poptávka TURTO - GeroTop - prostupy - 1.4.2026</v>
      </c>
    </row>
    <row r="358" spans="1:9" s="14" customFormat="1">
      <c r="A358" s="15" t="s">
        <v>891</v>
      </c>
      <c r="B358" s="17">
        <v>46112</v>
      </c>
      <c r="C358" s="17">
        <v>46114</v>
      </c>
      <c r="D358" s="15" t="s">
        <v>269</v>
      </c>
      <c r="E358" s="15" t="s">
        <v>1006</v>
      </c>
      <c r="F358" s="15" t="s">
        <v>912</v>
      </c>
      <c r="G358" s="15" t="s">
        <v>913</v>
      </c>
      <c r="H358" s="15"/>
      <c r="I358" s="15" t="str">
        <f>"Poptávka TURTO - "&amp;A358&amp;" - "&amp;IF(F358=data!$E$1,E358&amp;" - ","")&amp;G358&amp;" - "&amp;DAY(B358)&amp;"."&amp;MONTH(B358)&amp;"."&amp;YEAR(B358)</f>
        <v>Poptávka TURTO - Nevoga - vylamovací výztuž - 31.3.2026</v>
      </c>
    </row>
    <row r="359" spans="1:9" s="14" customFormat="1">
      <c r="A359" s="15" t="s">
        <v>885</v>
      </c>
      <c r="B359" s="17">
        <v>46112</v>
      </c>
      <c r="C359" s="17">
        <v>46112</v>
      </c>
      <c r="D359" s="15" t="s">
        <v>857</v>
      </c>
      <c r="E359" s="15" t="s">
        <v>1100</v>
      </c>
      <c r="F359" s="15" t="s">
        <v>911</v>
      </c>
      <c r="G359" s="15" t="s">
        <v>906</v>
      </c>
      <c r="H359" s="15"/>
      <c r="I359" s="15" t="str">
        <f>"Poptávka TURTO - "&amp;A359&amp;" - "&amp;IF(F359=data!$E$1,E359&amp;" - ","")&amp;G359&amp;" - "&amp;DAY(B359)&amp;"."&amp;MONTH(B359)&amp;"."&amp;YEAR(B359)</f>
        <v>Poptávka TURTO - Leviat - akce neznámá - izolační nosníky - 31.3.2026</v>
      </c>
    </row>
    <row r="360" spans="1:9" s="14" customFormat="1" ht="30">
      <c r="A360" s="15" t="s">
        <v>886</v>
      </c>
      <c r="B360" s="17">
        <v>46111</v>
      </c>
      <c r="C360" s="17">
        <v>46112</v>
      </c>
      <c r="D360" s="15" t="s">
        <v>557</v>
      </c>
      <c r="E360" s="15" t="s">
        <v>926</v>
      </c>
      <c r="F360" s="15" t="s">
        <v>912</v>
      </c>
      <c r="G360" s="15" t="s">
        <v>64</v>
      </c>
      <c r="H360" s="15"/>
      <c r="I360" s="15" t="str">
        <f>"Poptávka TURTO - "&amp;A360&amp;" - "&amp;IF(F360=data!$E$1,E360&amp;" - ","")&amp;G360&amp;" - "&amp;DAY(B360)&amp;"."&amp;MONTH(B360)&amp;"."&amp;YEAR(B360)</f>
        <v>Poptávka TURTO - PohlCon - smykové trny - 30.3.2026</v>
      </c>
    </row>
    <row r="361" spans="1:9" s="14" customFormat="1">
      <c r="A361" s="15" t="s">
        <v>885</v>
      </c>
      <c r="B361" s="17">
        <v>46111</v>
      </c>
      <c r="C361" s="17">
        <v>46111</v>
      </c>
      <c r="D361" s="15" t="s">
        <v>487</v>
      </c>
      <c r="E361" s="15" t="s">
        <v>1099</v>
      </c>
      <c r="F361" s="15" t="s">
        <v>911</v>
      </c>
      <c r="G361" s="15" t="s">
        <v>906</v>
      </c>
      <c r="H361" s="15"/>
      <c r="I361" s="15" t="str">
        <f>"Poptávka TURTO - "&amp;A361&amp;" - "&amp;IF(F361=data!$E$1,E361&amp;" - ","")&amp;G361&amp;" - "&amp;DAY(B361)&amp;"."&amp;MONTH(B361)&amp;"."&amp;YEAR(B361)</f>
        <v>Poptávka TURTO - Leviat - Nový Rohan - izolační nosníky - 30.3.2026</v>
      </c>
    </row>
    <row r="362" spans="1:9" s="14" customFormat="1">
      <c r="A362" s="15" t="s">
        <v>886</v>
      </c>
      <c r="B362" s="17">
        <v>46111</v>
      </c>
      <c r="C362" s="17">
        <v>46111</v>
      </c>
      <c r="D362" s="15" t="s">
        <v>130</v>
      </c>
      <c r="E362" s="15" t="s">
        <v>1095</v>
      </c>
      <c r="F362" s="15" t="s">
        <v>912</v>
      </c>
      <c r="G362" s="15" t="s">
        <v>1097</v>
      </c>
      <c r="H362" s="15"/>
      <c r="I362" s="15" t="str">
        <f>"Poptávka TURTO - "&amp;A362&amp;" - "&amp;IF(F362=data!$E$1,E362&amp;" - ","")&amp;G362&amp;" - "&amp;DAY(B362)&amp;"."&amp;MONTH(B362)&amp;"."&amp;YEAR(B362)</f>
        <v>Poptávka TURTO - PohlCon - kotevní lišty - 30.3.2026</v>
      </c>
    </row>
    <row r="363" spans="1:9" s="14" customFormat="1">
      <c r="A363" s="15" t="s">
        <v>885</v>
      </c>
      <c r="B363" s="17">
        <v>46111</v>
      </c>
      <c r="C363" s="17">
        <v>46111</v>
      </c>
      <c r="D363" s="15" t="s">
        <v>130</v>
      </c>
      <c r="E363" s="15" t="s">
        <v>1095</v>
      </c>
      <c r="F363" s="15" t="s">
        <v>912</v>
      </c>
      <c r="G363" s="15" t="s">
        <v>1097</v>
      </c>
      <c r="H363" s="15"/>
      <c r="I363" s="15" t="str">
        <f>"Poptávka TURTO - "&amp;A363&amp;" - "&amp;IF(F363=data!$E$1,E363&amp;" - ","")&amp;G363&amp;" - "&amp;DAY(B363)&amp;"."&amp;MONTH(B363)&amp;"."&amp;YEAR(B363)</f>
        <v>Poptávka TURTO - Leviat - kotevní lišty - 30.3.2026</v>
      </c>
    </row>
    <row r="364" spans="1:9" s="14" customFormat="1">
      <c r="A364" s="15" t="s">
        <v>885</v>
      </c>
      <c r="B364" s="17">
        <v>46111</v>
      </c>
      <c r="C364" s="17">
        <v>46111</v>
      </c>
      <c r="D364" s="15" t="s">
        <v>130</v>
      </c>
      <c r="E364" s="15" t="s">
        <v>1095</v>
      </c>
      <c r="F364" s="15" t="s">
        <v>911</v>
      </c>
      <c r="G364" s="15" t="s">
        <v>906</v>
      </c>
      <c r="H364" s="15"/>
      <c r="I364" s="15" t="str">
        <f>"Poptávka TURTO - "&amp;A364&amp;" - "&amp;IF(F364=data!$E$1,E364&amp;" - ","")&amp;G364&amp;" - "&amp;DAY(B364)&amp;"."&amp;MONTH(B364)&amp;"."&amp;YEAR(B364)</f>
        <v>Poptávka TURTO - Leviat - BD Doudlevecká - izolační nosníky - 30.3.2026</v>
      </c>
    </row>
    <row r="365" spans="1:9" s="14" customFormat="1">
      <c r="A365" s="15" t="s">
        <v>886</v>
      </c>
      <c r="B365" s="17">
        <v>46111</v>
      </c>
      <c r="C365" s="17">
        <v>46111</v>
      </c>
      <c r="D365" s="15" t="s">
        <v>138</v>
      </c>
      <c r="E365" s="15" t="s">
        <v>897</v>
      </c>
      <c r="F365" s="15" t="s">
        <v>912</v>
      </c>
      <c r="G365" s="15" t="s">
        <v>64</v>
      </c>
      <c r="H365" s="15"/>
      <c r="I365" s="15" t="str">
        <f>"Poptávka TURTO - "&amp;A365&amp;" - "&amp;IF(F365=data!$E$1,E365&amp;" - ","")&amp;G365&amp;" - "&amp;DAY(B365)&amp;"."&amp;MONTH(B365)&amp;"."&amp;YEAR(B365)</f>
        <v>Poptávka TURTO - PohlCon - smykové trny - 30.3.2026</v>
      </c>
    </row>
    <row r="366" spans="1:9" s="14" customFormat="1">
      <c r="A366" s="15" t="s">
        <v>886</v>
      </c>
      <c r="B366" s="17">
        <v>46111</v>
      </c>
      <c r="C366" s="17">
        <v>46111</v>
      </c>
      <c r="D366" s="15" t="s">
        <v>71</v>
      </c>
      <c r="E366" s="15" t="s">
        <v>974</v>
      </c>
      <c r="F366" s="15" t="s">
        <v>912</v>
      </c>
      <c r="G366" s="15" t="s">
        <v>907</v>
      </c>
      <c r="H366" s="15"/>
      <c r="I366" s="15" t="str">
        <f>"Poptávka TURTO - "&amp;A366&amp;" - "&amp;IF(F366=data!$E$1,E366&amp;" - ","")&amp;G366&amp;" - "&amp;DAY(B366)&amp;"."&amp;MONTH(B366)&amp;"."&amp;YEAR(B366)</f>
        <v>Poptávka TURTO - PohlCon - smyková výztuž - 30.3.2026</v>
      </c>
    </row>
    <row r="367" spans="1:9" s="14" customFormat="1">
      <c r="A367" s="15" t="s">
        <v>886</v>
      </c>
      <c r="B367" s="17">
        <v>46110</v>
      </c>
      <c r="C367" s="17">
        <v>46111</v>
      </c>
      <c r="D367" s="15" t="s">
        <v>747</v>
      </c>
      <c r="E367" s="15" t="s">
        <v>952</v>
      </c>
      <c r="F367" s="15" t="s">
        <v>912</v>
      </c>
      <c r="G367" s="15" t="s">
        <v>907</v>
      </c>
      <c r="H367" s="15"/>
      <c r="I367" s="15" t="str">
        <f>"Poptávka TURTO - "&amp;A367&amp;" - "&amp;IF(F367=data!$E$1,E367&amp;" - ","")&amp;G367&amp;" - "&amp;DAY(B367)&amp;"."&amp;MONTH(B367)&amp;"."&amp;YEAR(B367)</f>
        <v>Poptávka TURTO - PohlCon - smyková výztuž - 29.3.2026</v>
      </c>
    </row>
    <row r="368" spans="1:9" s="14" customFormat="1">
      <c r="A368" s="15" t="s">
        <v>889</v>
      </c>
      <c r="B368" s="17">
        <v>46110</v>
      </c>
      <c r="C368" s="17">
        <v>46111</v>
      </c>
      <c r="D368" s="15" t="s">
        <v>747</v>
      </c>
      <c r="E368" s="15" t="s">
        <v>952</v>
      </c>
      <c r="F368" s="15" t="s">
        <v>912</v>
      </c>
      <c r="G368" s="15" t="s">
        <v>907</v>
      </c>
      <c r="H368" s="15"/>
      <c r="I368" s="15" t="str">
        <f>"Poptávka TURTO - "&amp;A368&amp;" - "&amp;IF(F368=data!$E$1,E368&amp;" - ","")&amp;G368&amp;" - "&amp;DAY(B368)&amp;"."&amp;MONTH(B368)&amp;"."&amp;YEAR(B368)</f>
        <v>Poptávka TURTO - Peikko - smyková výztuž - 29.3.2026</v>
      </c>
    </row>
    <row r="369" spans="1:9" s="14" customFormat="1">
      <c r="A369" s="15" t="s">
        <v>885</v>
      </c>
      <c r="B369" s="17">
        <v>46108</v>
      </c>
      <c r="C369" s="17">
        <v>46111</v>
      </c>
      <c r="D369" s="15" t="s">
        <v>559</v>
      </c>
      <c r="E369" s="15" t="s">
        <v>34</v>
      </c>
      <c r="F369" s="15" t="s">
        <v>911</v>
      </c>
      <c r="G369" s="15" t="s">
        <v>906</v>
      </c>
      <c r="H369" s="15"/>
      <c r="I369" s="15" t="str">
        <f>"Poptávka TURTO - "&amp;A369&amp;" - "&amp;IF(F369=data!$E$1,E369&amp;" - ","")&amp;G369&amp;" - "&amp;DAY(B369)&amp;"."&amp;MONTH(B369)&amp;"."&amp;YEAR(B369)</f>
        <v>Poptávka TURTO - Leviat - Apartmány Odra - izolační nosníky - 27.3.2026</v>
      </c>
    </row>
    <row r="370" spans="1:9" s="14" customFormat="1">
      <c r="A370" s="15" t="s">
        <v>886</v>
      </c>
      <c r="B370" s="17">
        <v>46107</v>
      </c>
      <c r="C370" s="17">
        <v>46107</v>
      </c>
      <c r="D370" s="15" t="s">
        <v>811</v>
      </c>
      <c r="E370" s="15" t="s">
        <v>1093</v>
      </c>
      <c r="F370" s="15" t="s">
        <v>912</v>
      </c>
      <c r="G370" s="15" t="s">
        <v>1043</v>
      </c>
      <c r="H370" s="15"/>
      <c r="I370" s="15" t="str">
        <f>"Poptávka TURTO - "&amp;A370&amp;" - "&amp;IF(F370=data!$E$1,E370&amp;" - ","")&amp;G370&amp;" - "&amp;DAY(B370)&amp;"."&amp;MONTH(B370)&amp;"."&amp;YEAR(B370)</f>
        <v>Poptávka TURTO - PohlCon - akustika - 26.3.2026</v>
      </c>
    </row>
    <row r="371" spans="1:9" s="14" customFormat="1">
      <c r="A371" s="15" t="s">
        <v>885</v>
      </c>
      <c r="B371" s="17">
        <v>46107</v>
      </c>
      <c r="C371" s="17">
        <v>46108</v>
      </c>
      <c r="D371" s="15" t="s">
        <v>811</v>
      </c>
      <c r="E371" s="15" t="s">
        <v>1093</v>
      </c>
      <c r="F371" s="15" t="s">
        <v>912</v>
      </c>
      <c r="G371" s="15" t="s">
        <v>1043</v>
      </c>
      <c r="H371" s="15"/>
      <c r="I371" s="15" t="str">
        <f>"Poptávka TURTO - "&amp;A371&amp;" - "&amp;IF(F371=data!$E$1,E371&amp;" - ","")&amp;G371&amp;" - "&amp;DAY(B371)&amp;"."&amp;MONTH(B371)&amp;"."&amp;YEAR(B371)</f>
        <v>Poptávka TURTO - Leviat - akustika - 26.3.2026</v>
      </c>
    </row>
    <row r="372" spans="1:9" s="14" customFormat="1" ht="30">
      <c r="A372" s="15" t="s">
        <v>886</v>
      </c>
      <c r="B372" s="17">
        <v>46107</v>
      </c>
      <c r="C372" s="17">
        <v>46107</v>
      </c>
      <c r="D372" s="15" t="s">
        <v>319</v>
      </c>
      <c r="E372" s="15" t="s">
        <v>1092</v>
      </c>
      <c r="F372" s="15" t="s">
        <v>912</v>
      </c>
      <c r="G372" s="15" t="s">
        <v>1043</v>
      </c>
      <c r="H372" s="15"/>
      <c r="I372" s="15" t="str">
        <f>"Poptávka TURTO - "&amp;A372&amp;" - "&amp;IF(F372=data!$E$1,E372&amp;" - ","")&amp;G372&amp;" - "&amp;DAY(B372)&amp;"."&amp;MONTH(B372)&amp;"."&amp;YEAR(B372)</f>
        <v>Poptávka TURTO - PohlCon - akustika - 26.3.2026</v>
      </c>
    </row>
    <row r="373" spans="1:9" s="14" customFormat="1" ht="30">
      <c r="A373" s="15" t="s">
        <v>885</v>
      </c>
      <c r="B373" s="17">
        <v>46107</v>
      </c>
      <c r="C373" s="17">
        <v>46108</v>
      </c>
      <c r="D373" s="15" t="s">
        <v>319</v>
      </c>
      <c r="E373" s="15" t="s">
        <v>1092</v>
      </c>
      <c r="F373" s="15" t="s">
        <v>911</v>
      </c>
      <c r="G373" s="15" t="s">
        <v>906</v>
      </c>
      <c r="H373" s="15"/>
      <c r="I373" s="15" t="str">
        <f>"Poptávka TURTO - "&amp;A373&amp;" - "&amp;IF(F373=data!$E$1,E373&amp;" - ","")&amp;G373&amp;" - "&amp;DAY(B373)&amp;"."&amp;MONTH(B373)&amp;"."&amp;YEAR(B373)</f>
        <v>Poptávka TURTO - Leviat - BD Holešovice - izolační nosníky - 26.3.2026</v>
      </c>
    </row>
    <row r="374" spans="1:9" s="14" customFormat="1" ht="30">
      <c r="A374" s="15" t="s">
        <v>885</v>
      </c>
      <c r="B374" s="17">
        <v>46107</v>
      </c>
      <c r="C374" s="17">
        <v>46108</v>
      </c>
      <c r="D374" s="15" t="s">
        <v>319</v>
      </c>
      <c r="E374" s="15" t="s">
        <v>1092</v>
      </c>
      <c r="F374" s="15" t="s">
        <v>912</v>
      </c>
      <c r="G374" s="15" t="s">
        <v>1043</v>
      </c>
      <c r="H374" s="15"/>
      <c r="I374" s="15" t="str">
        <f>"Poptávka TURTO - "&amp;A374&amp;" - "&amp;IF(F374=data!$E$1,E374&amp;" - ","")&amp;G374&amp;" - "&amp;DAY(B374)&amp;"."&amp;MONTH(B374)&amp;"."&amp;YEAR(B374)</f>
        <v>Poptávka TURTO - Leviat - akustika - 26.3.2026</v>
      </c>
    </row>
    <row r="375" spans="1:9" s="14" customFormat="1">
      <c r="A375" s="15" t="s">
        <v>888</v>
      </c>
      <c r="B375" s="17">
        <v>46107</v>
      </c>
      <c r="C375" s="17">
        <v>46107</v>
      </c>
      <c r="D375" s="15" t="s">
        <v>577</v>
      </c>
      <c r="E375" s="15" t="s">
        <v>1037</v>
      </c>
      <c r="F375" s="15" t="s">
        <v>912</v>
      </c>
      <c r="G375" s="15" t="s">
        <v>909</v>
      </c>
      <c r="H375" s="15"/>
      <c r="I375" s="15" t="str">
        <f>"Poptávka TURTO - "&amp;A375&amp;" - "&amp;IF(F375=data!$E$1,E375&amp;" - ","")&amp;G375&amp;" - "&amp;DAY(B375)&amp;"."&amp;MONTH(B375)&amp;"."&amp;YEAR(B375)</f>
        <v>Poptávka TURTO - GeroTop - prostupy - 26.3.2026</v>
      </c>
    </row>
    <row r="376" spans="1:9" s="14" customFormat="1">
      <c r="A376" s="15" t="s">
        <v>886</v>
      </c>
      <c r="B376" s="17">
        <v>46106</v>
      </c>
      <c r="C376" s="17">
        <v>46125</v>
      </c>
      <c r="D376" s="15" t="s">
        <v>196</v>
      </c>
      <c r="E376" s="15" t="s">
        <v>1089</v>
      </c>
      <c r="F376" s="15" t="s">
        <v>911</v>
      </c>
      <c r="G376" s="15" t="s">
        <v>906</v>
      </c>
      <c r="H376" s="15"/>
      <c r="I376" s="15" t="str">
        <f>"Poptávka TURTO - "&amp;A376&amp;" - "&amp;IF(F376=data!$E$1,E376&amp;" - ","")&amp;G376&amp;" - "&amp;DAY(B376)&amp;"."&amp;MONTH(B376)&amp;"."&amp;YEAR(B376)</f>
        <v>Poptávka TURTO - PohlCon - RD Vyhlídková - izolační nosníky - 25.3.2026</v>
      </c>
    </row>
    <row r="377" spans="1:9" s="14" customFormat="1" ht="30">
      <c r="A377" s="15" t="s">
        <v>886</v>
      </c>
      <c r="B377" s="17">
        <v>46106</v>
      </c>
      <c r="C377" s="17">
        <v>46108</v>
      </c>
      <c r="D377" s="15" t="s">
        <v>436</v>
      </c>
      <c r="E377" s="15" t="s">
        <v>1088</v>
      </c>
      <c r="F377" s="15" t="s">
        <v>912</v>
      </c>
      <c r="G377" s="15" t="s">
        <v>907</v>
      </c>
      <c r="H377" s="15"/>
      <c r="I377" s="15" t="str">
        <f>"Poptávka TURTO - "&amp;A377&amp;" - "&amp;IF(F377=data!$E$1,E377&amp;" - ","")&amp;G377&amp;" - "&amp;DAY(B377)&amp;"."&amp;MONTH(B377)&amp;"."&amp;YEAR(B377)</f>
        <v>Poptávka TURTO - PohlCon - smyková výztuž - 25.3.2026</v>
      </c>
    </row>
    <row r="378" spans="1:9" s="14" customFormat="1" ht="30">
      <c r="A378" s="15" t="s">
        <v>889</v>
      </c>
      <c r="B378" s="17">
        <v>46106</v>
      </c>
      <c r="C378" s="17">
        <v>46106</v>
      </c>
      <c r="D378" s="15" t="s">
        <v>436</v>
      </c>
      <c r="E378" s="15" t="s">
        <v>1088</v>
      </c>
      <c r="F378" s="15" t="s">
        <v>912</v>
      </c>
      <c r="G378" s="15" t="s">
        <v>907</v>
      </c>
      <c r="H378" s="15"/>
      <c r="I378" s="15" t="str">
        <f>"Poptávka TURTO - "&amp;A378&amp;" - "&amp;IF(F378=data!$E$1,E378&amp;" - ","")&amp;G378&amp;" - "&amp;DAY(B378)&amp;"."&amp;MONTH(B378)&amp;"."&amp;YEAR(B378)</f>
        <v>Poptávka TURTO - Peikko - smyková výztuž - 25.3.2026</v>
      </c>
    </row>
    <row r="379" spans="1:9" s="14" customFormat="1" ht="30">
      <c r="A379" s="15" t="s">
        <v>885</v>
      </c>
      <c r="B379" s="17">
        <v>46105</v>
      </c>
      <c r="C379" s="17">
        <v>46107</v>
      </c>
      <c r="D379" s="15" t="s">
        <v>475</v>
      </c>
      <c r="E379" s="15" t="s">
        <v>931</v>
      </c>
      <c r="F379" s="15" t="s">
        <v>911</v>
      </c>
      <c r="G379" s="15" t="s">
        <v>906</v>
      </c>
      <c r="H379" s="15"/>
      <c r="I379" s="15" t="str">
        <f>"Poptávka TURTO - "&amp;A379&amp;" - "&amp;IF(F379=data!$E$1,E379&amp;" - ","")&amp;G379&amp;" - "&amp;DAY(B379)&amp;"."&amp;MONTH(B379)&amp;"."&amp;YEAR(B379)</f>
        <v>Poptávka TURTO - Leviat - Medový újezd - izolační nosníky - 24.3.2026</v>
      </c>
    </row>
    <row r="380" spans="1:9" s="14" customFormat="1">
      <c r="A380" s="15" t="s">
        <v>885</v>
      </c>
      <c r="B380" s="17">
        <v>46105</v>
      </c>
      <c r="C380" s="17">
        <v>46111</v>
      </c>
      <c r="D380" s="15" t="s">
        <v>386</v>
      </c>
      <c r="E380" s="15" t="s">
        <v>1087</v>
      </c>
      <c r="F380" s="15" t="s">
        <v>911</v>
      </c>
      <c r="G380" s="15" t="s">
        <v>906</v>
      </c>
      <c r="H380" s="15"/>
      <c r="I380" s="15" t="str">
        <f>"Poptávka TURTO - "&amp;A380&amp;" - "&amp;IF(F380=data!$E$1,E380&amp;" - ","")&amp;G380&amp;" - "&amp;DAY(B380)&amp;"."&amp;MONTH(B380)&amp;"."&amp;YEAR(B380)</f>
        <v>Poptávka TURTO - Leviat - RD Zvěřinského - izolační nosníky - 24.3.2026</v>
      </c>
    </row>
    <row r="381" spans="1:9" s="14" customFormat="1" ht="30">
      <c r="A381" s="15" t="s">
        <v>885</v>
      </c>
      <c r="B381" s="17">
        <v>46105</v>
      </c>
      <c r="C381" s="17">
        <v>46111</v>
      </c>
      <c r="D381" s="15" t="s">
        <v>494</v>
      </c>
      <c r="E381" s="15" t="s">
        <v>1084</v>
      </c>
      <c r="F381" s="15" t="s">
        <v>911</v>
      </c>
      <c r="G381" s="15" t="s">
        <v>906</v>
      </c>
      <c r="H381" s="15"/>
      <c r="I381" s="15" t="str">
        <f>"Poptávka TURTO - "&amp;A381&amp;" - "&amp;IF(F381=data!$E$1,E381&amp;" - ","")&amp;G381&amp;" - "&amp;DAY(B381)&amp;"."&amp;MONTH(B381)&amp;"."&amp;YEAR(B381)</f>
        <v>Poptávka TURTO - Leviat - Chelčického - izolační nosníky - 24.3.2026</v>
      </c>
    </row>
    <row r="382" spans="1:9" s="14" customFormat="1" ht="30">
      <c r="A382" s="15" t="s">
        <v>887</v>
      </c>
      <c r="B382" s="17">
        <v>46105</v>
      </c>
      <c r="C382" s="17">
        <v>46112</v>
      </c>
      <c r="D382" s="15" t="s">
        <v>721</v>
      </c>
      <c r="E382" s="15" t="s">
        <v>1078</v>
      </c>
      <c r="F382" s="15" t="s">
        <v>912</v>
      </c>
      <c r="G382" s="15" t="s">
        <v>906</v>
      </c>
      <c r="H382" s="15" t="s">
        <v>1085</v>
      </c>
      <c r="I382" s="15" t="str">
        <f>"Poptávka TURTO - "&amp;A382&amp;" - "&amp;IF(F382=data!$E$1,E382&amp;" - ","")&amp;G382&amp;" - "&amp;DAY(B382)&amp;"."&amp;MONTH(B382)&amp;"."&amp;YEAR(B382)</f>
        <v>Poptávka TURTO - MaxFrank - izolační nosníky - 24.3.2026</v>
      </c>
    </row>
    <row r="383" spans="1:9" s="14" customFormat="1">
      <c r="A383" s="15" t="s">
        <v>886</v>
      </c>
      <c r="B383" s="17">
        <v>46105</v>
      </c>
      <c r="C383" s="17">
        <v>46105</v>
      </c>
      <c r="D383" s="15" t="s">
        <v>269</v>
      </c>
      <c r="E383" s="15" t="s">
        <v>1082</v>
      </c>
      <c r="F383" s="15" t="s">
        <v>912</v>
      </c>
      <c r="G383" s="15" t="s">
        <v>64</v>
      </c>
      <c r="H383" s="15"/>
      <c r="I383" s="15" t="str">
        <f>"Poptávka TURTO - "&amp;A383&amp;" - "&amp;IF(F383=data!$E$1,E383&amp;" - ","")&amp;G383&amp;" - "&amp;DAY(B383)&amp;"."&amp;MONTH(B383)&amp;"."&amp;YEAR(B383)</f>
        <v>Poptávka TURTO - PohlCon - smykové trny - 24.3.2026</v>
      </c>
    </row>
    <row r="384" spans="1:9" s="14" customFormat="1">
      <c r="A384" s="15" t="s">
        <v>888</v>
      </c>
      <c r="B384" s="17">
        <v>46105</v>
      </c>
      <c r="C384" s="17">
        <v>46105</v>
      </c>
      <c r="D384" s="15" t="s">
        <v>747</v>
      </c>
      <c r="E384" s="15"/>
      <c r="F384" s="15" t="s">
        <v>912</v>
      </c>
      <c r="G384" s="15" t="s">
        <v>1080</v>
      </c>
      <c r="H384" s="15"/>
      <c r="I384" s="15" t="str">
        <f>"Poptávka TURTO - "&amp;A384&amp;" - "&amp;IF(F384=data!$E$1,E384&amp;" - ","")&amp;G384&amp;" - "&amp;DAY(B384)&amp;"."&amp;MONTH(B384)&amp;"."&amp;YEAR(B384)</f>
        <v>Poptávka TURTO - GeroTop - těsnicí vložka - 24.3.2026</v>
      </c>
    </row>
    <row r="385" spans="1:9" s="14" customFormat="1">
      <c r="A385" s="15" t="s">
        <v>885</v>
      </c>
      <c r="B385" s="17">
        <v>46104</v>
      </c>
      <c r="C385" s="17">
        <v>46105</v>
      </c>
      <c r="D385" s="15" t="s">
        <v>821</v>
      </c>
      <c r="E385" s="15" t="s">
        <v>919</v>
      </c>
      <c r="F385" s="15" t="s">
        <v>911</v>
      </c>
      <c r="G385" s="15" t="s">
        <v>906</v>
      </c>
      <c r="H385" s="15"/>
      <c r="I385" s="15" t="str">
        <f>"Poptávka TURTO - "&amp;A385&amp;" - "&amp;IF(F385=data!$E$1,E385&amp;" - ","")&amp;G385&amp;" - "&amp;DAY(B385)&amp;"."&amp;MONTH(B385)&amp;"."&amp;YEAR(B385)</f>
        <v>Poptávka TURTO - Leviat - Královské louky, KV - izolační nosníky - 23.3.2026</v>
      </c>
    </row>
    <row r="386" spans="1:9" s="14" customFormat="1">
      <c r="A386" s="15" t="s">
        <v>885</v>
      </c>
      <c r="B386" s="17">
        <v>46104</v>
      </c>
      <c r="C386" s="17">
        <v>46105</v>
      </c>
      <c r="D386" s="15" t="s">
        <v>375</v>
      </c>
      <c r="E386" s="15" t="s">
        <v>1078</v>
      </c>
      <c r="F386" s="15" t="s">
        <v>911</v>
      </c>
      <c r="G386" s="15" t="s">
        <v>906</v>
      </c>
      <c r="H386" s="15" t="s">
        <v>1079</v>
      </c>
      <c r="I386" s="15" t="str">
        <f>"Poptávka TURTO - "&amp;A386&amp;" - "&amp;IF(F386=data!$E$1,E386&amp;" - ","")&amp;G386&amp;" - "&amp;DAY(B386)&amp;"."&amp;MONTH(B386)&amp;"."&amp;YEAR(B386)</f>
        <v>Poptávka TURTO - Leviat - RD Černošice - izolační nosníky - 23.3.2026</v>
      </c>
    </row>
    <row r="387" spans="1:9" s="14" customFormat="1" ht="30">
      <c r="A387" s="15" t="s">
        <v>885</v>
      </c>
      <c r="B387" s="17">
        <v>46104</v>
      </c>
      <c r="C387" s="17">
        <v>46104</v>
      </c>
      <c r="D387" s="15" t="s">
        <v>198</v>
      </c>
      <c r="E387" s="15" t="s">
        <v>1077</v>
      </c>
      <c r="F387" s="15" t="s">
        <v>911</v>
      </c>
      <c r="G387" s="15" t="s">
        <v>906</v>
      </c>
      <c r="H387" s="15"/>
      <c r="I387" s="15" t="str">
        <f>"Poptávka TURTO - "&amp;A387&amp;" - "&amp;IF(F387=data!$E$1,E387&amp;" - ","")&amp;G387&amp;" - "&amp;DAY(B387)&amp;"."&amp;MONTH(B387)&amp;"."&amp;YEAR(B387)</f>
        <v>Poptávka TURTO - Leviat - BD Beroun - izolační nosníky - 23.3.2026</v>
      </c>
    </row>
    <row r="388" spans="1:9" s="14" customFormat="1" ht="30">
      <c r="A388" s="15" t="s">
        <v>885</v>
      </c>
      <c r="B388" s="17">
        <v>46101</v>
      </c>
      <c r="C388" s="17">
        <v>46106</v>
      </c>
      <c r="D388" s="15" t="s">
        <v>475</v>
      </c>
      <c r="E388" s="15" t="s">
        <v>930</v>
      </c>
      <c r="F388" s="15" t="s">
        <v>911</v>
      </c>
      <c r="G388" s="15" t="s">
        <v>906</v>
      </c>
      <c r="H388" s="15" t="s">
        <v>1081</v>
      </c>
      <c r="I388" s="15" t="str">
        <f>"Poptávka TURTO - "&amp;A388&amp;" - "&amp;IF(F388=data!$E$1,E388&amp;" - ","")&amp;G388&amp;" - "&amp;DAY(B388)&amp;"."&amp;MONTH(B388)&amp;"."&amp;YEAR(B388)</f>
        <v>Poptávka TURTO - Leviat - Papírna N1 - izolační nosníky - 20.3.2026</v>
      </c>
    </row>
    <row r="389" spans="1:9" s="14" customFormat="1">
      <c r="A389" s="15" t="s">
        <v>885</v>
      </c>
      <c r="B389" s="17">
        <v>46101</v>
      </c>
      <c r="C389" s="17">
        <v>46106</v>
      </c>
      <c r="D389" s="15" t="s">
        <v>684</v>
      </c>
      <c r="E389" s="15" t="s">
        <v>1073</v>
      </c>
      <c r="F389" s="15" t="s">
        <v>911</v>
      </c>
      <c r="G389" s="15" t="s">
        <v>906</v>
      </c>
      <c r="H389" s="15"/>
      <c r="I389" s="15" t="str">
        <f>"Poptávka TURTO - "&amp;A389&amp;" - "&amp;IF(F389=data!$E$1,E389&amp;" - ","")&amp;G389&amp;" - "&amp;DAY(B389)&amp;"."&amp;MONTH(B389)&amp;"."&amp;YEAR(B389)</f>
        <v>Poptávka TURTO - Leviat - BD Na Kopečku - izolační nosníky - 20.3.2026</v>
      </c>
    </row>
    <row r="390" spans="1:9" s="14" customFormat="1">
      <c r="A390" s="15" t="s">
        <v>885</v>
      </c>
      <c r="B390" s="17">
        <v>46100</v>
      </c>
      <c r="C390" s="17">
        <v>46104</v>
      </c>
      <c r="D390" s="15"/>
      <c r="E390" s="15"/>
      <c r="F390" s="15" t="s">
        <v>912</v>
      </c>
      <c r="G390" s="15" t="s">
        <v>906</v>
      </c>
      <c r="H390" s="15" t="s">
        <v>1038</v>
      </c>
      <c r="I390" s="15" t="s">
        <v>1072</v>
      </c>
    </row>
    <row r="391" spans="1:9" s="14" customFormat="1" ht="30">
      <c r="A391" s="15" t="s">
        <v>885</v>
      </c>
      <c r="B391" s="17">
        <v>46100</v>
      </c>
      <c r="C391" s="17">
        <v>46105</v>
      </c>
      <c r="D391" s="15" t="s">
        <v>714</v>
      </c>
      <c r="E391" s="15" t="s">
        <v>1071</v>
      </c>
      <c r="F391" s="15" t="s">
        <v>911</v>
      </c>
      <c r="G391" s="15" t="s">
        <v>906</v>
      </c>
      <c r="H391" s="15"/>
      <c r="I391" s="15" t="str">
        <f>"Poptávka TURTO - "&amp;A391&amp;" - "&amp;IF(F391=data!$E$1,E391&amp;" - ","")&amp;G391&amp;" - "&amp;DAY(B391)&amp;"."&amp;MONTH(B391)&amp;"."&amp;YEAR(B391)</f>
        <v>Poptávka TURTO - Leviat - BD Břevnov - izolační nosníky - 19.3.2026</v>
      </c>
    </row>
    <row r="392" spans="1:9" s="14" customFormat="1">
      <c r="A392" s="15" t="s">
        <v>885</v>
      </c>
      <c r="B392" s="17">
        <v>46099</v>
      </c>
      <c r="C392" s="17">
        <v>46105</v>
      </c>
      <c r="D392" s="15" t="s">
        <v>705</v>
      </c>
      <c r="E392" s="15" t="s">
        <v>1069</v>
      </c>
      <c r="F392" s="15" t="s">
        <v>911</v>
      </c>
      <c r="G392" s="15" t="s">
        <v>906</v>
      </c>
      <c r="H392" s="15"/>
      <c r="I392" s="15" t="str">
        <f>"Poptávka TURTO - "&amp;A392&amp;" - "&amp;IF(F392=data!$E$1,E392&amp;" - ","")&amp;G392&amp;" - "&amp;DAY(B392)&amp;"."&amp;MONTH(B392)&amp;"."&amp;YEAR(B392)</f>
        <v>Poptávka TURTO - Leviat - Čejetičky - izolační nosníky - 18.3.2026</v>
      </c>
    </row>
    <row r="393" spans="1:9" s="14" customFormat="1">
      <c r="A393" s="15" t="s">
        <v>885</v>
      </c>
      <c r="B393" s="17">
        <v>46098</v>
      </c>
      <c r="C393" s="17">
        <v>46108</v>
      </c>
      <c r="D393" s="15" t="s">
        <v>620</v>
      </c>
      <c r="E393" s="15" t="s">
        <v>61</v>
      </c>
      <c r="F393" s="15" t="s">
        <v>911</v>
      </c>
      <c r="G393" s="15" t="s">
        <v>906</v>
      </c>
      <c r="H393" s="15"/>
      <c r="I393" s="15" t="str">
        <f>"Poptávka TURTO - "&amp;A393&amp;" - "&amp;IF(F393=data!$E$1,E393&amp;" - ","")&amp;G393&amp;" - "&amp;DAY(B393)&amp;"."&amp;MONTH(B393)&amp;"."&amp;YEAR(B393)</f>
        <v>Poptávka TURTO - Leviat - Hotel Hladina - izolační nosníky - 17.3.2026</v>
      </c>
    </row>
    <row r="394" spans="1:9" s="14" customFormat="1" ht="30">
      <c r="A394" s="15" t="s">
        <v>886</v>
      </c>
      <c r="B394" s="17">
        <v>46097</v>
      </c>
      <c r="C394" s="17">
        <v>46098</v>
      </c>
      <c r="D394" s="15" t="s">
        <v>1065</v>
      </c>
      <c r="E394" s="15" t="s">
        <v>1064</v>
      </c>
      <c r="F394" s="15" t="s">
        <v>911</v>
      </c>
      <c r="G394" s="15" t="s">
        <v>906</v>
      </c>
      <c r="H394" s="15"/>
      <c r="I394" s="15" t="str">
        <f>"Poptávka TURTO - "&amp;A394&amp;" - "&amp;IF(F394=data!$E$1,E394&amp;" - ","")&amp;G394&amp;" - "&amp;DAY(B394)&amp;"."&amp;MONTH(B394)&amp;"."&amp;YEAR(B394)</f>
        <v>Poptávka TURTO - PohlCon - Troskovice - izolační nosníky - 16.3.2026</v>
      </c>
    </row>
    <row r="395" spans="1:9" s="14" customFormat="1">
      <c r="A395" s="15" t="s">
        <v>886</v>
      </c>
      <c r="B395" s="17">
        <v>46097</v>
      </c>
      <c r="C395" s="17">
        <v>46101</v>
      </c>
      <c r="D395" s="15"/>
      <c r="E395" s="15"/>
      <c r="F395" s="15"/>
      <c r="G395" s="15"/>
      <c r="H395" s="15"/>
      <c r="I395" s="15" t="s">
        <v>1063</v>
      </c>
    </row>
    <row r="396" spans="1:9" s="14" customFormat="1" ht="30">
      <c r="A396" s="15" t="s">
        <v>888</v>
      </c>
      <c r="B396" s="17">
        <v>46097</v>
      </c>
      <c r="C396" s="17">
        <v>46104</v>
      </c>
      <c r="D396" s="15" t="s">
        <v>475</v>
      </c>
      <c r="E396" s="15" t="s">
        <v>953</v>
      </c>
      <c r="F396" s="15" t="s">
        <v>912</v>
      </c>
      <c r="G396" s="15" t="s">
        <v>909</v>
      </c>
      <c r="H396" s="15" t="s">
        <v>1062</v>
      </c>
      <c r="I396" s="15" t="str">
        <f>"Poptávka TURTO - "&amp;A396&amp;" - "&amp;IF(F396=data!$E$1,E396&amp;" - ","")&amp;G396&amp;" - "&amp;DAY(B396)&amp;"."&amp;MONTH(B396)&amp;"."&amp;YEAR(B396)</f>
        <v>Poptávka TURTO - GeroTop - prostupy - 16.3.2026</v>
      </c>
    </row>
    <row r="397" spans="1:9" s="14" customFormat="1">
      <c r="A397" s="15" t="s">
        <v>887</v>
      </c>
      <c r="B397" s="17">
        <v>46097</v>
      </c>
      <c r="C397" s="17"/>
      <c r="D397" s="15" t="s">
        <v>761</v>
      </c>
      <c r="E397" s="15" t="s">
        <v>1045</v>
      </c>
      <c r="F397" s="15" t="s">
        <v>911</v>
      </c>
      <c r="G397" s="15" t="s">
        <v>906</v>
      </c>
      <c r="H397" s="15"/>
      <c r="I397" s="15" t="str">
        <f>"Poptávka TURTO - "&amp;A397&amp;" - "&amp;IF(F397=data!$E$1,E397&amp;" - ","")&amp;G397&amp;" - "&amp;DAY(B397)&amp;"."&amp;MONTH(B397)&amp;"."&amp;YEAR(B397)</f>
        <v>Poptávka TURTO - MaxFrank - RD Hořovice - izolační nosníky - 16.3.2026</v>
      </c>
    </row>
    <row r="398" spans="1:9" s="14" customFormat="1">
      <c r="A398" s="15" t="s">
        <v>889</v>
      </c>
      <c r="B398" s="17">
        <v>46097</v>
      </c>
      <c r="C398" s="17">
        <v>46098</v>
      </c>
      <c r="D398" s="15" t="s">
        <v>747</v>
      </c>
      <c r="E398" s="15" t="s">
        <v>952</v>
      </c>
      <c r="F398" s="15" t="s">
        <v>912</v>
      </c>
      <c r="G398" s="15" t="s">
        <v>1034</v>
      </c>
      <c r="H398" s="15"/>
      <c r="I398" s="15" t="str">
        <f>"Poptávka TURTO - "&amp;A398&amp;" - "&amp;IF(F398=data!$E$1,E398&amp;" - ","")&amp;G398&amp;" - "&amp;DAY(B398)&amp;"."&amp;MONTH(B398)&amp;"."&amp;YEAR(B398)</f>
        <v>Poptávka TURTO - Peikko - kotevní hák - 16.3.2026</v>
      </c>
    </row>
    <row r="399" spans="1:9" s="14" customFormat="1">
      <c r="A399" s="15" t="s">
        <v>885</v>
      </c>
      <c r="B399" s="17">
        <v>46097</v>
      </c>
      <c r="C399" s="17">
        <v>46104</v>
      </c>
      <c r="D399" s="15" t="s">
        <v>747</v>
      </c>
      <c r="E399" s="15" t="s">
        <v>952</v>
      </c>
      <c r="F399" s="15" t="s">
        <v>912</v>
      </c>
      <c r="G399" s="15" t="s">
        <v>1034</v>
      </c>
      <c r="H399" s="15" t="s">
        <v>881</v>
      </c>
      <c r="I399" s="15" t="str">
        <f>"Poptávka TURTO - "&amp;A399&amp;" - "&amp;IF(F399=data!$E$1,E399&amp;" - ","")&amp;G399&amp;" - "&amp;DAY(B399)&amp;"."&amp;MONTH(B399)&amp;"."&amp;YEAR(B399)</f>
        <v>Poptávka TURTO - Leviat - kotevní hák - 16.3.2026</v>
      </c>
    </row>
    <row r="400" spans="1:9" s="14" customFormat="1">
      <c r="A400" s="15" t="s">
        <v>1058</v>
      </c>
      <c r="B400" s="17">
        <v>46097</v>
      </c>
      <c r="C400" s="17">
        <v>46097</v>
      </c>
      <c r="D400" s="15" t="s">
        <v>747</v>
      </c>
      <c r="E400" s="15" t="s">
        <v>1030</v>
      </c>
      <c r="F400" s="15" t="s">
        <v>912</v>
      </c>
      <c r="G400" s="15" t="s">
        <v>1057</v>
      </c>
      <c r="H400" s="15"/>
      <c r="I400" s="15" t="str">
        <f>"Poptávka TURTO - "&amp;A400&amp;" - "&amp;IF(F400=data!$E$1,E400&amp;" - ","")&amp;G400&amp;" - "&amp;DAY(B400)&amp;"."&amp;MONTH(B400)&amp;"."&amp;YEAR(B400)</f>
        <v>Poptávka TURTO - MEA - poklop - 16.3.2026</v>
      </c>
    </row>
    <row r="401" spans="1:9" s="14" customFormat="1">
      <c r="A401" s="15" t="s">
        <v>888</v>
      </c>
      <c r="B401" s="17">
        <v>46097</v>
      </c>
      <c r="C401" s="17">
        <v>46097</v>
      </c>
      <c r="D401" s="15" t="s">
        <v>747</v>
      </c>
      <c r="E401" s="15" t="s">
        <v>1030</v>
      </c>
      <c r="F401" s="15" t="s">
        <v>912</v>
      </c>
      <c r="G401" s="15"/>
      <c r="H401" s="15" t="s">
        <v>1055</v>
      </c>
      <c r="I401" s="15" t="s">
        <v>1056</v>
      </c>
    </row>
    <row r="402" spans="1:9" s="14" customFormat="1">
      <c r="A402" s="15" t="s">
        <v>886</v>
      </c>
      <c r="B402" s="17">
        <v>46097</v>
      </c>
      <c r="C402" s="17">
        <v>46097</v>
      </c>
      <c r="D402" s="15" t="s">
        <v>747</v>
      </c>
      <c r="E402" s="15" t="s">
        <v>952</v>
      </c>
      <c r="F402" s="15" t="s">
        <v>912</v>
      </c>
      <c r="G402" s="15" t="s">
        <v>1034</v>
      </c>
      <c r="H402" s="15"/>
      <c r="I402" s="15" t="str">
        <f>"Poptávka TURTO - "&amp;A402&amp;" - "&amp;IF(F402=data!$E$1,E402&amp;" - ","")&amp;G402&amp;" - "&amp;DAY(B402)&amp;"."&amp;MONTH(B402)&amp;"."&amp;YEAR(B402)</f>
        <v>Poptávka TURTO - PohlCon - kotevní hák - 16.3.2026</v>
      </c>
    </row>
    <row r="403" spans="1:9" s="14" customFormat="1">
      <c r="A403" s="15" t="s">
        <v>885</v>
      </c>
      <c r="B403" s="17">
        <v>46097</v>
      </c>
      <c r="C403" s="17">
        <v>46097</v>
      </c>
      <c r="D403" s="15" t="s">
        <v>125</v>
      </c>
      <c r="E403" s="15" t="s">
        <v>1052</v>
      </c>
      <c r="F403" s="15" t="s">
        <v>911</v>
      </c>
      <c r="G403" s="15" t="s">
        <v>906</v>
      </c>
      <c r="H403" s="15"/>
      <c r="I403" s="15" t="str">
        <f>"Poptávka TURTO - "&amp;A403&amp;" - "&amp;IF(F403=data!$E$1,E403&amp;" - ","")&amp;G403&amp;" - "&amp;DAY(B403)&amp;"."&amp;MONTH(B403)&amp;"."&amp;YEAR(B403)</f>
        <v>Poptávka TURTO - Leviat - Konětopy - izolační nosníky - 16.3.2026</v>
      </c>
    </row>
    <row r="404" spans="1:9" s="14" customFormat="1" ht="30">
      <c r="A404" s="15" t="s">
        <v>886</v>
      </c>
      <c r="B404" s="17">
        <v>46093</v>
      </c>
      <c r="C404" s="17">
        <v>46094</v>
      </c>
      <c r="D404" s="15" t="s">
        <v>557</v>
      </c>
      <c r="E404" s="15" t="s">
        <v>1044</v>
      </c>
      <c r="F404" s="15" t="s">
        <v>912</v>
      </c>
      <c r="G404" s="15" t="s">
        <v>1048</v>
      </c>
      <c r="H404" s="15"/>
      <c r="I404" s="15" t="str">
        <f>"Poptávka TURTO - "&amp;A404&amp;" - "&amp;IF(F404=data!$E$1,E404&amp;" - ","")&amp;G404&amp;" - "&amp;DAY(B404)&amp;"."&amp;MONTH(B404)&amp;"."&amp;YEAR(B404)</f>
        <v>Poptávka TURTO - PohlCon - SINTON Q - 12.3.2026</v>
      </c>
    </row>
    <row r="405" spans="1:9" s="14" customFormat="1" ht="30">
      <c r="A405" s="15" t="s">
        <v>885</v>
      </c>
      <c r="B405" s="17">
        <v>46093</v>
      </c>
      <c r="C405" s="17">
        <v>46097</v>
      </c>
      <c r="D405" s="15" t="s">
        <v>195</v>
      </c>
      <c r="E405" s="15" t="s">
        <v>1047</v>
      </c>
      <c r="F405" s="15" t="s">
        <v>911</v>
      </c>
      <c r="G405" s="15" t="s">
        <v>906</v>
      </c>
      <c r="H405" s="15"/>
      <c r="I405" s="15" t="str">
        <f>"Poptávka TURTO - "&amp;A405&amp;" - "&amp;IF(F405=data!$E$1,E405&amp;" - ","")&amp;G405&amp;" - "&amp;DAY(B405)&amp;"."&amp;MONTH(B405)&amp;"."&amp;YEAR(B405)</f>
        <v>Poptávka TURTO - Leviat - RD Řeporyje - izolační nosníky - 12.3.2026</v>
      </c>
    </row>
    <row r="406" spans="1:9" s="14" customFormat="1">
      <c r="A406" s="15" t="s">
        <v>885</v>
      </c>
      <c r="B406" s="17">
        <v>46093</v>
      </c>
      <c r="C406" s="17">
        <v>46097</v>
      </c>
      <c r="D406" s="15" t="s">
        <v>761</v>
      </c>
      <c r="E406" s="15" t="s">
        <v>1045</v>
      </c>
      <c r="F406" s="15" t="s">
        <v>911</v>
      </c>
      <c r="G406" s="15" t="s">
        <v>906</v>
      </c>
      <c r="H406" s="15" t="s">
        <v>1059</v>
      </c>
      <c r="I406" s="15" t="str">
        <f>"Poptávka TURTO - "&amp;A406&amp;" - "&amp;IF(F406=data!$E$1,E406&amp;" - ","")&amp;G406&amp;" - "&amp;DAY(B406)&amp;"."&amp;MONTH(B406)&amp;"."&amp;YEAR(B406)</f>
        <v>Poptávka TURTO - Leviat - RD Hořovice - izolační nosníky - 12.3.2026</v>
      </c>
    </row>
    <row r="407" spans="1:9" s="14" customFormat="1" ht="30">
      <c r="A407" s="15" t="s">
        <v>889</v>
      </c>
      <c r="B407" s="17">
        <v>46093</v>
      </c>
      <c r="C407" s="17">
        <v>46094</v>
      </c>
      <c r="D407" s="15" t="s">
        <v>557</v>
      </c>
      <c r="E407" s="15" t="s">
        <v>1044</v>
      </c>
      <c r="F407" s="15" t="s">
        <v>912</v>
      </c>
      <c r="G407" s="15" t="s">
        <v>907</v>
      </c>
      <c r="H407" s="15"/>
      <c r="I407" s="15" t="str">
        <f>"Poptávka TURTO - "&amp;A407&amp;" - "&amp;IF(F407=data!$E$1,E407&amp;" - ","")&amp;G407&amp;" - "&amp;DAY(B407)&amp;"."&amp;MONTH(B407)&amp;"."&amp;YEAR(B407)</f>
        <v>Poptávka TURTO - Peikko - smyková výztuž - 12.3.2026</v>
      </c>
    </row>
    <row r="408" spans="1:9" s="14" customFormat="1" ht="30">
      <c r="A408" s="15" t="s">
        <v>886</v>
      </c>
      <c r="B408" s="17">
        <v>46093</v>
      </c>
      <c r="C408" s="17">
        <v>46094</v>
      </c>
      <c r="D408" s="15" t="s">
        <v>557</v>
      </c>
      <c r="E408" s="15" t="s">
        <v>1044</v>
      </c>
      <c r="F408" s="15" t="s">
        <v>912</v>
      </c>
      <c r="G408" s="15" t="s">
        <v>907</v>
      </c>
      <c r="H408" s="15"/>
      <c r="I408" s="15" t="str">
        <f>"Poptávka TURTO - "&amp;A408&amp;" - "&amp;IF(F408=data!$E$1,E408&amp;" - ","")&amp;G408&amp;" - "&amp;DAY(B408)&amp;"."&amp;MONTH(B408)&amp;"."&amp;YEAR(B408)</f>
        <v>Poptávka TURTO - PohlCon - smyková výztuž - 12.3.2026</v>
      </c>
    </row>
    <row r="409" spans="1:9" s="14" customFormat="1">
      <c r="A409" s="15" t="s">
        <v>887</v>
      </c>
      <c r="B409" s="17">
        <v>46093</v>
      </c>
      <c r="C409" s="17">
        <v>46094</v>
      </c>
      <c r="D409" s="15"/>
      <c r="E409" s="15"/>
      <c r="F409" s="15"/>
      <c r="G409" s="15" t="s">
        <v>1043</v>
      </c>
      <c r="H409" s="15"/>
      <c r="I409" s="15" t="str">
        <f>"Poptávka TURTO - "&amp;A409&amp;" - "&amp;IF(F409=data!$E$1,E409&amp;" - ","")&amp;G409&amp;" - "&amp;DAY(B409)&amp;"."&amp;MONTH(B409)&amp;"."&amp;YEAR(B409)</f>
        <v>Poptávka TURTO - MaxFrank - akustika - 12.3.2026</v>
      </c>
    </row>
    <row r="410" spans="1:9" s="14" customFormat="1" ht="30">
      <c r="A410" s="15" t="s">
        <v>885</v>
      </c>
      <c r="B410" s="17">
        <v>46093</v>
      </c>
      <c r="C410" s="17">
        <v>46112</v>
      </c>
      <c r="D410" s="15" t="s">
        <v>198</v>
      </c>
      <c r="E410" s="15" t="s">
        <v>1042</v>
      </c>
      <c r="F410" s="15" t="s">
        <v>911</v>
      </c>
      <c r="G410" s="15" t="s">
        <v>906</v>
      </c>
      <c r="H410" s="15"/>
      <c r="I410" s="15" t="str">
        <f>"Poptávka TURTO - "&amp;A410&amp;" - "&amp;IF(F410=data!$E$1,E410&amp;" - ","")&amp;G410&amp;" - "&amp;DAY(B410)&amp;"."&amp;MONTH(B410)&amp;"."&amp;YEAR(B410)</f>
        <v>Poptávka TURTO - Leviat - MOSAIQ Beroun - izolační nosníky - 12.3.2026</v>
      </c>
    </row>
    <row r="411" spans="1:9" s="14" customFormat="1">
      <c r="A411" s="15" t="s">
        <v>888</v>
      </c>
      <c r="B411" s="17">
        <v>46093</v>
      </c>
      <c r="C411" s="17">
        <v>46093</v>
      </c>
      <c r="D411" s="15" t="s">
        <v>747</v>
      </c>
      <c r="E411" s="15" t="s">
        <v>1030</v>
      </c>
      <c r="F411" s="15" t="s">
        <v>912</v>
      </c>
      <c r="G411" s="15" t="s">
        <v>909</v>
      </c>
      <c r="H411" s="15"/>
      <c r="I411" s="15" t="str">
        <f>"Poptávka TURTO - "&amp;A411&amp;" - "&amp;IF(F411=data!$E$1,E411&amp;" - ","")&amp;G411&amp;" - "&amp;DAY(B411)&amp;"."&amp;MONTH(B411)&amp;"."&amp;YEAR(B411)</f>
        <v>Poptávka TURTO - GeroTop - prostupy - 12.3.2026</v>
      </c>
    </row>
    <row r="412" spans="1:9" s="14" customFormat="1">
      <c r="A412" s="15" t="s">
        <v>885</v>
      </c>
      <c r="B412" s="17">
        <v>46093</v>
      </c>
      <c r="C412" s="17">
        <v>46094</v>
      </c>
      <c r="D412" s="15" t="s">
        <v>811</v>
      </c>
      <c r="E412" s="15" t="s">
        <v>1010</v>
      </c>
      <c r="F412" s="15" t="s">
        <v>911</v>
      </c>
      <c r="G412" s="15" t="s">
        <v>906</v>
      </c>
      <c r="H412" s="15"/>
      <c r="I412" s="15" t="str">
        <f>"Poptávka TURTO - "&amp;A412&amp;" - "&amp;IF(F412=data!$E$1,E412&amp;" - ","")&amp;G412&amp;" - "&amp;DAY(B412)&amp;"."&amp;MONTH(B412)&amp;"."&amp;YEAR(B412)</f>
        <v>Poptávka TURTO - Leviat - BD Břeclav - izolační nosníky - 12.3.2026</v>
      </c>
    </row>
    <row r="413" spans="1:9" s="14" customFormat="1">
      <c r="A413" s="15" t="s">
        <v>885</v>
      </c>
      <c r="B413" s="17">
        <v>46093</v>
      </c>
      <c r="C413" s="17">
        <v>46094</v>
      </c>
      <c r="D413" s="15" t="s">
        <v>747</v>
      </c>
      <c r="E413" s="15" t="s">
        <v>1030</v>
      </c>
      <c r="F413" s="15" t="s">
        <v>912</v>
      </c>
      <c r="G413" s="15" t="s">
        <v>907</v>
      </c>
      <c r="H413" s="15" t="s">
        <v>1038</v>
      </c>
      <c r="I413" s="15" t="str">
        <f>"Poptávka TURTO - "&amp;A413&amp;" - "&amp;IF(F413=data!$E$1,E413&amp;" - ","")&amp;G413&amp;" - "&amp;DAY(B413)&amp;"."&amp;MONTH(B413)&amp;"."&amp;YEAR(B413)</f>
        <v>Poptávka TURTO - Leviat - smyková výztuž - 12.3.2026</v>
      </c>
    </row>
    <row r="414" spans="1:9" s="14" customFormat="1">
      <c r="A414" s="15" t="s">
        <v>1035</v>
      </c>
      <c r="B414" s="17">
        <v>46092</v>
      </c>
      <c r="C414" s="17">
        <v>46094</v>
      </c>
      <c r="D414" s="15" t="s">
        <v>485</v>
      </c>
      <c r="E414" s="15" t="s">
        <v>926</v>
      </c>
      <c r="F414" s="15" t="s">
        <v>912</v>
      </c>
      <c r="G414" s="15" t="s">
        <v>1036</v>
      </c>
      <c r="H414" s="15"/>
      <c r="I414" s="15" t="str">
        <f>"Poptávka TURTO - "&amp;A414&amp;" - "&amp;IF(F414=data!$E$1,E414&amp;" - ","")&amp;G414&amp;" - "&amp;DAY(B414)&amp;"."&amp;MONTH(B414)&amp;"."&amp;YEAR(B414)</f>
        <v>Poptávka TURTO - Biguma - těsnicí profil - 11.3.2026</v>
      </c>
    </row>
    <row r="415" spans="1:9" s="14" customFormat="1" ht="30">
      <c r="A415" s="15" t="s">
        <v>885</v>
      </c>
      <c r="B415" s="17">
        <v>46092</v>
      </c>
      <c r="C415" s="17">
        <v>46093</v>
      </c>
      <c r="D415" s="15" t="s">
        <v>319</v>
      </c>
      <c r="E415" s="15" t="s">
        <v>982</v>
      </c>
      <c r="F415" s="15" t="s">
        <v>912</v>
      </c>
      <c r="G415" s="15" t="s">
        <v>983</v>
      </c>
      <c r="H415" s="15"/>
      <c r="I415" s="15" t="str">
        <f>"Poptávka TURTO - "&amp;A415&amp;" - "&amp;IF(F415=data!$E$1,E415&amp;" - ","")&amp;G415&amp;" - "&amp;DAY(B415)&amp;"."&amp;MONTH(B415)&amp;"."&amp;YEAR(B415)</f>
        <v>Poptávka TURTO - Leviat - Halfen HKW  - 11.3.2026</v>
      </c>
    </row>
    <row r="416" spans="1:9" s="14" customFormat="1" ht="30">
      <c r="A416" s="15" t="s">
        <v>886</v>
      </c>
      <c r="B416" s="17">
        <v>46092</v>
      </c>
      <c r="C416" s="17">
        <v>46092</v>
      </c>
      <c r="D416" s="15" t="s">
        <v>319</v>
      </c>
      <c r="E416" s="15" t="s">
        <v>982</v>
      </c>
      <c r="F416" s="15" t="s">
        <v>912</v>
      </c>
      <c r="G416" s="15" t="s">
        <v>1034</v>
      </c>
      <c r="H416" s="15"/>
      <c r="I416" s="15" t="str">
        <f>"Poptávka TURTO - "&amp;A416&amp;" - "&amp;IF(F416=data!$E$1,E416&amp;" - ","")&amp;G416&amp;" - "&amp;DAY(B416)&amp;"."&amp;MONTH(B416)&amp;"."&amp;YEAR(B416)</f>
        <v>Poptávka TURTO - PohlCon - kotevní hák - 11.3.2026</v>
      </c>
    </row>
    <row r="417" spans="1:9" s="14" customFormat="1">
      <c r="A417" s="15" t="s">
        <v>889</v>
      </c>
      <c r="B417" s="17">
        <v>46091</v>
      </c>
      <c r="C417" s="17">
        <v>46093</v>
      </c>
      <c r="D417" s="15" t="s">
        <v>747</v>
      </c>
      <c r="E417" s="15" t="s">
        <v>1030</v>
      </c>
      <c r="F417" s="15" t="s">
        <v>912</v>
      </c>
      <c r="G417" s="15" t="s">
        <v>907</v>
      </c>
      <c r="H417" s="15"/>
      <c r="I417" s="15" t="str">
        <f>"Poptávka TURTO - "&amp;A417&amp;" - "&amp;IF(F417=data!$E$1,E417&amp;" - ","")&amp;G417&amp;" - "&amp;DAY(B417)&amp;"."&amp;MONTH(B417)&amp;"."&amp;YEAR(B417)</f>
        <v>Poptávka TURTO - Peikko - smyková výztuž - 10.3.2026</v>
      </c>
    </row>
    <row r="418" spans="1:9" s="14" customFormat="1">
      <c r="A418" s="15" t="s">
        <v>886</v>
      </c>
      <c r="B418" s="17">
        <v>46091</v>
      </c>
      <c r="C418" s="17">
        <v>46092</v>
      </c>
      <c r="D418" s="15" t="s">
        <v>747</v>
      </c>
      <c r="E418" s="15" t="s">
        <v>1030</v>
      </c>
      <c r="F418" s="15" t="s">
        <v>912</v>
      </c>
      <c r="G418" s="15" t="s">
        <v>907</v>
      </c>
      <c r="H418" s="15"/>
      <c r="I418" s="15" t="str">
        <f>"Poptávka TURTO - "&amp;A418&amp;" - "&amp;IF(F418=data!$E$1,E418&amp;" - ","")&amp;G418&amp;" - "&amp;DAY(B418)&amp;"."&amp;MONTH(B418)&amp;"."&amp;YEAR(B418)</f>
        <v>Poptávka TURTO - PohlCon - smyková výztuž - 10.3.2026</v>
      </c>
    </row>
    <row r="419" spans="1:9" s="14" customFormat="1">
      <c r="A419" s="15" t="s">
        <v>885</v>
      </c>
      <c r="B419" s="17">
        <v>46091</v>
      </c>
      <c r="C419" s="17">
        <v>46097</v>
      </c>
      <c r="D419" s="15" t="s">
        <v>152</v>
      </c>
      <c r="E419" s="15" t="s">
        <v>1029</v>
      </c>
      <c r="F419" s="15" t="s">
        <v>911</v>
      </c>
      <c r="G419" s="15" t="s">
        <v>906</v>
      </c>
      <c r="H419" s="15"/>
      <c r="I419" s="15" t="str">
        <f>"Poptávka TURTO - "&amp;A419&amp;" - "&amp;IF(F419=data!$E$1,E419&amp;" - ","")&amp;G419&amp;" - "&amp;DAY(B419)&amp;"."&amp;MONTH(B419)&amp;"."&amp;YEAR(B419)</f>
        <v>Poptávka TURTO - Leviat - BD Tovačovského - izolační nosníky - 10.3.2026</v>
      </c>
    </row>
    <row r="420" spans="1:9" s="14" customFormat="1">
      <c r="A420" s="15" t="s">
        <v>886</v>
      </c>
      <c r="B420" s="17">
        <v>46091</v>
      </c>
      <c r="C420" s="17">
        <v>46092</v>
      </c>
      <c r="D420" s="15" t="s">
        <v>640</v>
      </c>
      <c r="E420" s="15" t="s">
        <v>897</v>
      </c>
      <c r="F420" s="15" t="s">
        <v>912</v>
      </c>
      <c r="G420" s="15" t="s">
        <v>64</v>
      </c>
      <c r="H420" s="15" t="s">
        <v>1023</v>
      </c>
      <c r="I420" s="15" t="str">
        <f>"Poptávka TURTO - "&amp;A420&amp;" - "&amp;IF(F420=data!$E$1,E420&amp;" - ","")&amp;G420&amp;" - "&amp;DAY(B420)&amp;"."&amp;MONTH(B420)&amp;"."&amp;YEAR(B420)</f>
        <v>Poptávka TURTO - PohlCon - smykové trny - 10.3.2026</v>
      </c>
    </row>
    <row r="421" spans="1:9" s="14" customFormat="1">
      <c r="A421" s="15" t="s">
        <v>886</v>
      </c>
      <c r="B421" s="17">
        <v>46091</v>
      </c>
      <c r="C421" s="17">
        <v>46092</v>
      </c>
      <c r="D421" s="15" t="s">
        <v>811</v>
      </c>
      <c r="E421" s="15" t="s">
        <v>1010</v>
      </c>
      <c r="F421" s="15" t="s">
        <v>912</v>
      </c>
      <c r="G421" s="15" t="s">
        <v>1021</v>
      </c>
      <c r="H421" s="15" t="s">
        <v>1022</v>
      </c>
      <c r="I421" s="15" t="str">
        <f>"Poptávka TURTO - "&amp;A421&amp;" - "&amp;IF(F421=data!$E$1,E421&amp;" - ","")&amp;G421&amp;" - "&amp;DAY(B421)&amp;"."&amp;MONTH(B421)&amp;"."&amp;YEAR(B421)</f>
        <v>Poptávka TURTO - PohlCon - SINTON X - 10.3.2026</v>
      </c>
    </row>
    <row r="422" spans="1:9" s="14" customFormat="1">
      <c r="A422" s="15" t="s">
        <v>885</v>
      </c>
      <c r="B422" s="17">
        <v>46091</v>
      </c>
      <c r="C422" s="17">
        <v>46092</v>
      </c>
      <c r="D422" s="15" t="s">
        <v>811</v>
      </c>
      <c r="E422" s="15" t="s">
        <v>1010</v>
      </c>
      <c r="F422" s="15" t="s">
        <v>911</v>
      </c>
      <c r="G422" s="15" t="s">
        <v>998</v>
      </c>
      <c r="H422" s="15"/>
      <c r="I422" s="15" t="str">
        <f>"Poptávka TURTO - "&amp;A422&amp;" - "&amp;IF(F422=data!$E$1,E422&amp;" - ","")&amp;G422&amp;" - "&amp;DAY(B422)&amp;"."&amp;MONTH(B422)&amp;"."&amp;YEAR(B422)</f>
        <v>Poptávka TURTO - Leviat - BD Břeclav - Halfen HTF - 10.3.2026</v>
      </c>
    </row>
    <row r="423" spans="1:9" s="14" customFormat="1">
      <c r="A423" s="15" t="s">
        <v>1019</v>
      </c>
      <c r="B423" s="17">
        <v>46091</v>
      </c>
      <c r="C423" s="17">
        <v>46091</v>
      </c>
      <c r="D423" s="15" t="s">
        <v>578</v>
      </c>
      <c r="E423" s="15" t="s">
        <v>1016</v>
      </c>
      <c r="F423" s="15" t="s">
        <v>912</v>
      </c>
      <c r="G423" s="15" t="s">
        <v>1020</v>
      </c>
      <c r="H423" s="15"/>
      <c r="I423" s="15" t="str">
        <f>"Poptávka TURTO - "&amp;A423&amp;" - "&amp;IF(F423=data!$E$1,E423&amp;" - ","")&amp;G423&amp;" - "&amp;DAY(B423)&amp;"."&amp;MONTH(B423)&amp;"."&amp;YEAR(B423)</f>
        <v>Poptávka TURTO - DIMER - Brandenburger S4000 - 10.3.2026</v>
      </c>
    </row>
    <row r="424" spans="1:9" s="14" customFormat="1" ht="30">
      <c r="A424" s="15" t="s">
        <v>885</v>
      </c>
      <c r="B424" s="17">
        <v>46091</v>
      </c>
      <c r="C424" s="17">
        <v>46098</v>
      </c>
      <c r="D424" s="15" t="s">
        <v>175</v>
      </c>
      <c r="E424" s="15" t="s">
        <v>56</v>
      </c>
      <c r="F424" s="15" t="s">
        <v>911</v>
      </c>
      <c r="G424" s="15" t="s">
        <v>906</v>
      </c>
      <c r="H424" s="15"/>
      <c r="I424" s="15" t="str">
        <f>"Poptávka TURTO - "&amp;A424&amp;" - "&amp;IF(F424=data!$E$1,E424&amp;" - ","")&amp;G424&amp;" - "&amp;DAY(B424)&amp;"."&amp;MONTH(B424)&amp;"."&amp;YEAR(B424)</f>
        <v>Poptávka TURTO - Leviat - BD Třešňová - izolační nosníky - 10.3.2026</v>
      </c>
    </row>
    <row r="425" spans="1:9" s="14" customFormat="1">
      <c r="A425" s="15" t="s">
        <v>885</v>
      </c>
      <c r="B425" s="17">
        <v>46091</v>
      </c>
      <c r="C425" s="17">
        <v>46092</v>
      </c>
      <c r="D425" s="15" t="s">
        <v>311</v>
      </c>
      <c r="E425" s="15" t="s">
        <v>34</v>
      </c>
      <c r="F425" s="15" t="s">
        <v>911</v>
      </c>
      <c r="G425" s="15" t="s">
        <v>906</v>
      </c>
      <c r="H425" s="15"/>
      <c r="I425" s="15" t="str">
        <f>"Poptávka TURTO - "&amp;A425&amp;" - "&amp;IF(F425=data!$E$1,E425&amp;" - ","")&amp;G425&amp;" - "&amp;DAY(B425)&amp;"."&amp;MONTH(B425)&amp;"."&amp;YEAR(B425)</f>
        <v>Poptávka TURTO - Leviat - Apartmány Odra - izolační nosníky - 10.3.2026</v>
      </c>
    </row>
    <row r="426" spans="1:9" s="14" customFormat="1">
      <c r="A426" s="15" t="s">
        <v>885</v>
      </c>
      <c r="B426" s="17">
        <v>46090</v>
      </c>
      <c r="C426" s="17">
        <v>46091</v>
      </c>
      <c r="D426" s="15" t="s">
        <v>572</v>
      </c>
      <c r="E426" s="15" t="s">
        <v>1013</v>
      </c>
      <c r="F426" s="15" t="s">
        <v>911</v>
      </c>
      <c r="G426" s="15" t="s">
        <v>906</v>
      </c>
      <c r="H426" s="15" t="s">
        <v>1014</v>
      </c>
      <c r="I426" s="15" t="str">
        <f>"Poptávka TURTO - "&amp;A426&amp;" - "&amp;IF(F426=data!$E$1,E426&amp;" - ","")&amp;G426&amp;" - "&amp;DAY(B426)&amp;"."&amp;MONTH(B426)&amp;"."&amp;YEAR(B426)</f>
        <v>Poptávka TURTO - Leviat - BD Vinice - izolační nosníky - 9.3.2026</v>
      </c>
    </row>
    <row r="427" spans="1:9" s="14" customFormat="1">
      <c r="A427" s="15" t="s">
        <v>885</v>
      </c>
      <c r="B427" s="17">
        <v>46090</v>
      </c>
      <c r="C427" s="17">
        <v>46092</v>
      </c>
      <c r="D427" s="15" t="s">
        <v>705</v>
      </c>
      <c r="E427" s="15" t="s">
        <v>1012</v>
      </c>
      <c r="F427" s="15" t="s">
        <v>911</v>
      </c>
      <c r="G427" s="15" t="s">
        <v>906</v>
      </c>
      <c r="H427" s="15"/>
      <c r="I427" s="15" t="str">
        <f>"Poptávka TURTO - "&amp;A427&amp;" - "&amp;IF(F427=data!$E$1,E427&amp;" - ","")&amp;G427&amp;" - "&amp;DAY(B427)&amp;"."&amp;MONTH(B427)&amp;"."&amp;YEAR(B427)</f>
        <v>Poptávka TURTO - Leviat - RD Hostivice - izolační nosníky - 9.3.2026</v>
      </c>
    </row>
    <row r="428" spans="1:9" s="14" customFormat="1">
      <c r="A428" s="15" t="s">
        <v>885</v>
      </c>
      <c r="B428" s="17">
        <v>46090</v>
      </c>
      <c r="C428" s="17">
        <v>46100</v>
      </c>
      <c r="D428" s="15" t="s">
        <v>810</v>
      </c>
      <c r="E428" s="15" t="s">
        <v>1008</v>
      </c>
      <c r="F428" s="15" t="s">
        <v>911</v>
      </c>
      <c r="G428" s="15" t="s">
        <v>906</v>
      </c>
      <c r="H428" s="15"/>
      <c r="I428" s="15" t="str">
        <f>"Poptávka TURTO - "&amp;A428&amp;" - "&amp;IF(F428=data!$E$1,E428&amp;" - ","")&amp;G428&amp;" - "&amp;DAY(B428)&amp;"."&amp;MONTH(B428)&amp;"."&amp;YEAR(B428)</f>
        <v>Poptávka TURTO - Leviat - RD Hlásná Třebáň - izolační nosníky - 9.3.2026</v>
      </c>
    </row>
    <row r="429" spans="1:9" s="14" customFormat="1">
      <c r="A429" s="15" t="s">
        <v>886</v>
      </c>
      <c r="B429" s="17">
        <v>46089</v>
      </c>
      <c r="C429" s="17">
        <v>46089</v>
      </c>
      <c r="D429" s="15" t="s">
        <v>385</v>
      </c>
      <c r="E429" s="15" t="s">
        <v>1003</v>
      </c>
      <c r="F429" s="15" t="s">
        <v>912</v>
      </c>
      <c r="G429" s="15" t="s">
        <v>907</v>
      </c>
      <c r="H429" s="15"/>
      <c r="I429" s="15" t="str">
        <f>"Poptávka TURTO - "&amp;A429&amp;" - "&amp;IF(F429=data!$E$1,E429&amp;" - ","")&amp;G429&amp;" - "&amp;DAY(B429)&amp;"."&amp;MONTH(B429)&amp;"."&amp;YEAR(B429)</f>
        <v>Poptávka TURTO - PohlCon - smyková výztuž - 8.3.2026</v>
      </c>
    </row>
    <row r="430" spans="1:9" s="14" customFormat="1" ht="30">
      <c r="A430" s="15" t="s">
        <v>888</v>
      </c>
      <c r="B430" s="17">
        <v>46088</v>
      </c>
      <c r="C430" s="17">
        <v>46093</v>
      </c>
      <c r="D430" s="15" t="s">
        <v>475</v>
      </c>
      <c r="E430" s="15" t="s">
        <v>953</v>
      </c>
      <c r="F430" s="15" t="s">
        <v>912</v>
      </c>
      <c r="G430" s="15" t="s">
        <v>909</v>
      </c>
      <c r="H430" s="15"/>
      <c r="I430" s="15" t="str">
        <f>"Poptávka TURTO - "&amp;A430&amp;" - "&amp;IF(F430=data!$E$1,E430&amp;" - ","")&amp;G430&amp;" - "&amp;DAY(B430)&amp;"."&amp;MONTH(B430)&amp;"."&amp;YEAR(B430)</f>
        <v>Poptávka TURTO - GeroTop - prostupy - 7.3.2026</v>
      </c>
    </row>
    <row r="431" spans="1:9" s="14" customFormat="1" ht="30">
      <c r="A431" s="15" t="s">
        <v>886</v>
      </c>
      <c r="B431" s="17">
        <v>46087</v>
      </c>
      <c r="C431" s="17">
        <v>46089</v>
      </c>
      <c r="D431" s="15" t="s">
        <v>475</v>
      </c>
      <c r="E431" s="15" t="s">
        <v>953</v>
      </c>
      <c r="F431" s="15" t="s">
        <v>912</v>
      </c>
      <c r="G431" s="15" t="s">
        <v>907</v>
      </c>
      <c r="H431" s="15"/>
      <c r="I431" s="15" t="str">
        <f>"Poptávka TURTO - "&amp;A431&amp;" - "&amp;IF(F431=data!$E$1,E431&amp;" - ","")&amp;G431&amp;" - "&amp;DAY(B431)&amp;"."&amp;MONTH(B431)&amp;"."&amp;YEAR(B431)</f>
        <v>Poptávka TURTO - PohlCon - smyková výztuž - 6.3.2026</v>
      </c>
    </row>
    <row r="432" spans="1:9" s="14" customFormat="1">
      <c r="A432" s="15" t="s">
        <v>885</v>
      </c>
      <c r="B432" s="17">
        <v>46087</v>
      </c>
      <c r="C432" s="17">
        <v>46092</v>
      </c>
      <c r="D432" s="15" t="s">
        <v>386</v>
      </c>
      <c r="E432" s="15" t="s">
        <v>1000</v>
      </c>
      <c r="F432" s="15" t="s">
        <v>911</v>
      </c>
      <c r="G432" s="15" t="s">
        <v>906</v>
      </c>
      <c r="H432" s="15"/>
      <c r="I432" s="15" t="str">
        <f>"Poptávka TURTO - "&amp;A432&amp;" - "&amp;IF(F432=data!$E$1,E432&amp;" - ","")&amp;G432&amp;" - "&amp;DAY(B432)&amp;"."&amp;MONTH(B432)&amp;"."&amp;YEAR(B432)</f>
        <v>Poptávka TURTO - Leviat - BD Olomouc - izolační nosníky - 6.3.2026</v>
      </c>
    </row>
    <row r="433" spans="1:9" s="14" customFormat="1">
      <c r="A433" s="15" t="s">
        <v>885</v>
      </c>
      <c r="B433" s="17">
        <v>46087</v>
      </c>
      <c r="C433" s="17">
        <v>46091</v>
      </c>
      <c r="D433" s="15" t="s">
        <v>264</v>
      </c>
      <c r="E433" s="15" t="s">
        <v>993</v>
      </c>
      <c r="F433" s="15" t="s">
        <v>911</v>
      </c>
      <c r="G433" s="15" t="s">
        <v>906</v>
      </c>
      <c r="H433" s="15"/>
      <c r="I433" s="15" t="str">
        <f>"Poptávka TURTO - "&amp;A433&amp;" - "&amp;IF(F433=data!$E$2,"",E433&amp;" - ")&amp;G433&amp;" - "&amp;DAY(B433)&amp;"."&amp;MONTH(B433)&amp;"."&amp;YEAR(B433)</f>
        <v>Poptávka TURTO - Leviat - Luka Hrabětice - izolační nosníky - 6.3.2026</v>
      </c>
    </row>
    <row r="434" spans="1:9" s="14" customFormat="1">
      <c r="A434" s="15" t="s">
        <v>885</v>
      </c>
      <c r="B434" s="17">
        <v>46087</v>
      </c>
      <c r="C434" s="17">
        <v>46091</v>
      </c>
      <c r="D434" s="15" t="s">
        <v>264</v>
      </c>
      <c r="E434" s="15" t="s">
        <v>993</v>
      </c>
      <c r="F434" s="15" t="s">
        <v>912</v>
      </c>
      <c r="G434" s="15" t="s">
        <v>998</v>
      </c>
      <c r="H434" s="15"/>
      <c r="I434" s="15" t="str">
        <f>"Poptávka TURTO - "&amp;A434&amp;" - "&amp;IF(F434=data!$E$2,"",E434&amp;" - ")&amp;G434&amp;" - "&amp;DAY(B434)&amp;"."&amp;MONTH(B434)&amp;"."&amp;YEAR(B434)</f>
        <v>Poptávka TURTO - Leviat - Halfen HTF - 6.3.2026</v>
      </c>
    </row>
    <row r="435" spans="1:9" s="14" customFormat="1">
      <c r="A435" s="15" t="s">
        <v>885</v>
      </c>
      <c r="B435" s="17">
        <v>46087</v>
      </c>
      <c r="C435" s="17">
        <v>46087</v>
      </c>
      <c r="D435" s="15" t="s">
        <v>592</v>
      </c>
      <c r="E435" s="15" t="s">
        <v>992</v>
      </c>
      <c r="F435" s="15" t="s">
        <v>911</v>
      </c>
      <c r="G435" s="15" t="s">
        <v>906</v>
      </c>
      <c r="H435" s="15"/>
      <c r="I435" s="15" t="str">
        <f>"Poptávka TURTO - "&amp;A435&amp;" - "&amp;IF(F435=data!$E$2,"",E435&amp;" - ")&amp;G435&amp;" - "&amp;DAY(B435)&amp;"."&amp;MONTH(B435)&amp;"."&amp;YEAR(B435)</f>
        <v>Poptávka TURTO - Leviat - RD Malčice - izolační nosníky - 6.3.2026</v>
      </c>
    </row>
    <row r="436" spans="1:9" s="14" customFormat="1" ht="30">
      <c r="A436" s="15" t="s">
        <v>985</v>
      </c>
      <c r="B436" s="17">
        <v>46085</v>
      </c>
      <c r="C436" s="17">
        <v>46089</v>
      </c>
      <c r="D436" s="15" t="s">
        <v>319</v>
      </c>
      <c r="E436" s="15" t="s">
        <v>982</v>
      </c>
      <c r="F436" s="15" t="s">
        <v>912</v>
      </c>
      <c r="G436" s="15" t="s">
        <v>986</v>
      </c>
      <c r="H436" s="15" t="s">
        <v>1005</v>
      </c>
      <c r="I436" s="15" t="str">
        <f>"Poptávka TURTO - "&amp;A436&amp;" - "&amp;IF(F436=data!$E$2,"",E436&amp;" - ")&amp;G436&amp;" - "&amp;DAY(B436)&amp;"."&amp;MONTH(B436)&amp;"."&amp;YEAR(B436)</f>
        <v>Poptávka TURTO - EXPAN - dilatační profil - 4.3.2026</v>
      </c>
    </row>
    <row r="437" spans="1:9" s="14" customFormat="1" ht="30">
      <c r="A437" s="15" t="s">
        <v>885</v>
      </c>
      <c r="B437" s="17">
        <v>46085</v>
      </c>
      <c r="C437" s="17">
        <v>46086</v>
      </c>
      <c r="D437" s="15" t="s">
        <v>319</v>
      </c>
      <c r="E437" s="15" t="s">
        <v>982</v>
      </c>
      <c r="F437" s="15" t="s">
        <v>912</v>
      </c>
      <c r="G437" s="15" t="s">
        <v>983</v>
      </c>
      <c r="H437" s="15"/>
      <c r="I437" s="15" t="str">
        <f>"Poptávka TURTO - "&amp;A437&amp;" - "&amp;IF(F437=data!$E$2,"",E437&amp;" - ")&amp;G437&amp;" - "&amp;DAY(B437)&amp;"."&amp;MONTH(B437)&amp;"."&amp;YEAR(B437)</f>
        <v>Poptávka TURTO - Leviat - Halfen HKW  - 4.3.2026</v>
      </c>
    </row>
    <row r="438" spans="1:9" s="14" customFormat="1">
      <c r="A438" s="15" t="s">
        <v>924</v>
      </c>
      <c r="B438" s="17">
        <v>46085</v>
      </c>
      <c r="C438" s="17"/>
      <c r="D438" s="15" t="s">
        <v>592</v>
      </c>
      <c r="E438" s="15" t="s">
        <v>897</v>
      </c>
      <c r="F438" s="15" t="s">
        <v>912</v>
      </c>
      <c r="G438" s="15" t="s">
        <v>906</v>
      </c>
      <c r="H438" s="15"/>
      <c r="I438" s="15" t="str">
        <f>"Poptávka TURTO - "&amp;A438&amp;" - "&amp;IF(F438=data!$E$2,"",E438&amp;" - ")&amp;G438&amp;" - "&amp;DAY(B438)&amp;"."&amp;MONTH(B438)&amp;"."&amp;YEAR(B438)</f>
        <v>Poptávka TURTO - GMYS - izolační nosníky - 4.3.2026</v>
      </c>
    </row>
    <row r="439" spans="1:9" s="14" customFormat="1">
      <c r="A439" s="15" t="s">
        <v>885</v>
      </c>
      <c r="B439" s="17">
        <v>46085</v>
      </c>
      <c r="C439" s="17">
        <v>46087</v>
      </c>
      <c r="D439" s="15" t="s">
        <v>386</v>
      </c>
      <c r="E439" s="15" t="s">
        <v>980</v>
      </c>
      <c r="F439" s="15" t="s">
        <v>911</v>
      </c>
      <c r="G439" s="15" t="s">
        <v>906</v>
      </c>
      <c r="H439" s="15"/>
      <c r="I439" s="15" t="str">
        <f>"Poptávka TURTO - "&amp;A439&amp;" - "&amp;IF(F439=data!$E$2,"",E439&amp;" - ")&amp;G439&amp;" - "&amp;DAY(B439)&amp;"."&amp;MONTH(B439)&amp;"."&amp;YEAR(B439)</f>
        <v>Poptávka TURTO - Leviat - Petruškova - 3.NP - izolační nosníky - 4.3.2026</v>
      </c>
    </row>
    <row r="440" spans="1:9" s="14" customFormat="1">
      <c r="A440" s="15" t="s">
        <v>976</v>
      </c>
      <c r="B440" s="17">
        <v>46085</v>
      </c>
      <c r="C440" s="17">
        <v>46086</v>
      </c>
      <c r="D440" s="15" t="s">
        <v>269</v>
      </c>
      <c r="E440" s="15" t="s">
        <v>977</v>
      </c>
      <c r="F440" s="15" t="s">
        <v>911</v>
      </c>
      <c r="G440" s="15" t="s">
        <v>979</v>
      </c>
      <c r="H440" s="15"/>
      <c r="I440" s="15" t="str">
        <f>"Poptávka TURTO - "&amp;A440&amp;" - "&amp;IF(F440=data!$E$2,"",E440&amp;" - ")&amp;G440&amp;" - "&amp;DAY(B440)&amp;"."&amp;MONTH(B440)&amp;"."&amp;YEAR(B440)</f>
        <v>Poptávka TURTO - MIVO - Smíchov City - kluzná ložiska - 4.3.2026</v>
      </c>
    </row>
    <row r="441" spans="1:9" s="14" customFormat="1" ht="30">
      <c r="A441" s="15" t="s">
        <v>885</v>
      </c>
      <c r="B441" s="17">
        <v>46085</v>
      </c>
      <c r="C441" s="17">
        <v>46087</v>
      </c>
      <c r="D441" s="15" t="s">
        <v>811</v>
      </c>
      <c r="E441" s="15" t="s">
        <v>4</v>
      </c>
      <c r="F441" s="15" t="s">
        <v>911</v>
      </c>
      <c r="G441" s="15" t="s">
        <v>906</v>
      </c>
      <c r="H441" s="15"/>
      <c r="I441" s="15" t="str">
        <f>"Poptávka TURTO - "&amp;A441&amp;" - "&amp;IF(F441=data!$E$2,"",E441&amp;" - ")&amp;G441&amp;" - "&amp;DAY(B441)&amp;"."&amp;MONTH(B441)&amp;"."&amp;YEAR(B441)</f>
        <v>Poptávka TURTO - Leviat - Polyfunkční dům Prcek - Vyškov - izolační nosníky - 4.3.2026</v>
      </c>
    </row>
    <row r="442" spans="1:9" s="14" customFormat="1">
      <c r="A442" s="15" t="s">
        <v>885</v>
      </c>
      <c r="B442" s="17">
        <v>46085</v>
      </c>
      <c r="C442" s="17">
        <v>46085</v>
      </c>
      <c r="D442" s="15" t="s">
        <v>71</v>
      </c>
      <c r="E442" s="15" t="s">
        <v>974</v>
      </c>
      <c r="F442" s="15" t="s">
        <v>912</v>
      </c>
      <c r="G442" s="15" t="s">
        <v>907</v>
      </c>
      <c r="H442" s="15"/>
      <c r="I442" s="15" t="str">
        <f>"Poptávka TURTO - "&amp;A442&amp;" - "&amp;IF(F442=data!$E$2,"",E442&amp;" - ")&amp;G442&amp;" - "&amp;DAY(B442)&amp;"."&amp;MONTH(B442)&amp;"."&amp;YEAR(B442)</f>
        <v>Poptávka TURTO - Leviat - smyková výztuž - 4.3.2026</v>
      </c>
    </row>
    <row r="443" spans="1:9" s="14" customFormat="1">
      <c r="A443" s="15" t="s">
        <v>889</v>
      </c>
      <c r="B443" s="17">
        <v>46084</v>
      </c>
      <c r="C443" s="17">
        <v>46084</v>
      </c>
      <c r="D443" s="15" t="s">
        <v>747</v>
      </c>
      <c r="E443" s="15" t="s">
        <v>952</v>
      </c>
      <c r="F443" s="15" t="s">
        <v>912</v>
      </c>
      <c r="G443" s="15" t="s">
        <v>907</v>
      </c>
      <c r="H443" s="15"/>
      <c r="I443" s="15" t="str">
        <f>"Poptávka TURTO - "&amp;A443&amp;" - "&amp;IF(F443=data!$E$2,"",E443&amp;" - ")&amp;G443&amp;" - "&amp;DAY(B443)&amp;"."&amp;MONTH(B443)&amp;"."&amp;YEAR(B443)</f>
        <v>Poptávka TURTO - Peikko - smyková výztuž - 3.3.2026</v>
      </c>
    </row>
    <row r="444" spans="1:9" s="14" customFormat="1" ht="30">
      <c r="A444" s="15" t="s">
        <v>891</v>
      </c>
      <c r="B444" s="17">
        <v>46084</v>
      </c>
      <c r="C444" s="17">
        <v>46084</v>
      </c>
      <c r="D444" s="15" t="s">
        <v>284</v>
      </c>
      <c r="E444" s="15" t="s">
        <v>960</v>
      </c>
      <c r="F444" s="15" t="s">
        <v>912</v>
      </c>
      <c r="G444" s="15" t="s">
        <v>913</v>
      </c>
      <c r="H444" s="15" t="s">
        <v>881</v>
      </c>
      <c r="I444" s="15" t="str">
        <f>"Poptávka TURTO - "&amp;A444&amp;" - "&amp;IF(F444=data!$E$2,"",E444&amp;" - ")&amp;G444&amp;" - "&amp;DAY(B444)&amp;"."&amp;MONTH(B444)&amp;"."&amp;YEAR(B444)</f>
        <v>Poptávka TURTO - Nevoga - vylamovací výztuž - 3.3.2026</v>
      </c>
    </row>
    <row r="445" spans="1:9" s="14" customFormat="1" ht="30">
      <c r="A445" s="15" t="s">
        <v>893</v>
      </c>
      <c r="B445" s="17">
        <v>46084</v>
      </c>
      <c r="C445" s="17">
        <v>46084</v>
      </c>
      <c r="D445" s="15" t="s">
        <v>572</v>
      </c>
      <c r="E445" s="15" t="s">
        <v>957</v>
      </c>
      <c r="F445" s="15" t="s">
        <v>912</v>
      </c>
      <c r="G445" s="15" t="s">
        <v>58</v>
      </c>
      <c r="H445" s="15"/>
      <c r="I445" s="15" t="str">
        <f>"Poptávka TURTO - "&amp;A445&amp;" - "&amp;IF(F445=data!$E$2,"",E445&amp;" - ")&amp;G445&amp;" - "&amp;DAY(B445)&amp;"."&amp;MONTH(B445)&amp;"."&amp;YEAR(B445)</f>
        <v>Poptávka TURTO - Pragoelast - GR desky - 3.3.2026</v>
      </c>
    </row>
    <row r="446" spans="1:9" s="14" customFormat="1" ht="30">
      <c r="A446" s="15" t="s">
        <v>885</v>
      </c>
      <c r="B446" s="17">
        <v>46084</v>
      </c>
      <c r="C446" s="17">
        <v>46085</v>
      </c>
      <c r="D446" s="15" t="s">
        <v>963</v>
      </c>
      <c r="E446" s="15" t="s">
        <v>1031</v>
      </c>
      <c r="F446" s="15" t="s">
        <v>911</v>
      </c>
      <c r="G446" s="15" t="s">
        <v>906</v>
      </c>
      <c r="H446" s="15"/>
      <c r="I446" s="15" t="str">
        <f>"Poptávka TURTO - "&amp;A446&amp;" - "&amp;IF(F446=data!$E$2,"",E446&amp;" - ")&amp;G446&amp;" - "&amp;DAY(B446)&amp;"."&amp;MONTH(B446)&amp;"."&amp;YEAR(B446)</f>
        <v>Poptávka TURTO - Leviat - BD Hořice - izolační nosníky - 3.3.2026</v>
      </c>
    </row>
    <row r="447" spans="1:9" s="14" customFormat="1">
      <c r="A447" s="15" t="s">
        <v>885</v>
      </c>
      <c r="B447" s="17">
        <v>46083</v>
      </c>
      <c r="C447" s="17"/>
      <c r="D447" s="15" t="s">
        <v>572</v>
      </c>
      <c r="E447" s="15" t="s">
        <v>957</v>
      </c>
      <c r="F447" s="15" t="s">
        <v>911</v>
      </c>
      <c r="G447" s="15" t="s">
        <v>906</v>
      </c>
      <c r="H447" s="15" t="s">
        <v>981</v>
      </c>
      <c r="I447" s="15" t="str">
        <f>"Poptávka TURTO - "&amp;A447&amp;" - "&amp;IF(F447=data!$E$2,"",E447&amp;" - ")&amp;G447&amp;" - "&amp;DAY(B447)&amp;"."&amp;MONTH(B447)&amp;"."&amp;YEAR(B447)</f>
        <v>Poptávka TURTO - Leviat - BD Záběhlická - izolační nosníky - 2.3.2026</v>
      </c>
    </row>
    <row r="448" spans="1:9" s="14" customFormat="1" ht="30">
      <c r="A448" s="15" t="s">
        <v>885</v>
      </c>
      <c r="B448" s="17">
        <v>46083</v>
      </c>
      <c r="C448" s="17">
        <v>46083</v>
      </c>
      <c r="D448" s="15"/>
      <c r="E448" s="15"/>
      <c r="F448" s="15" t="s">
        <v>912</v>
      </c>
      <c r="G448" s="15" t="s">
        <v>906</v>
      </c>
      <c r="H448" s="15" t="s">
        <v>956</v>
      </c>
      <c r="I448" s="15" t="str">
        <f>"Poptávka TURTO - "&amp;A448&amp;" - "&amp;IF(F448=data!$E$2,"",E448&amp;" - ")&amp;G448&amp;" - "&amp;DAY(B448)&amp;"."&amp;MONTH(B448)&amp;"."&amp;YEAR(B448)</f>
        <v>Poptávka TURTO - Leviat - izolační nosníky - 2.3.2026</v>
      </c>
    </row>
    <row r="449" spans="1:9" s="14" customFormat="1" ht="30">
      <c r="A449" s="15" t="s">
        <v>885</v>
      </c>
      <c r="B449" s="17">
        <v>46083</v>
      </c>
      <c r="C449" s="17"/>
      <c r="D449" s="15" t="s">
        <v>475</v>
      </c>
      <c r="E449" s="15" t="s">
        <v>951</v>
      </c>
      <c r="F449" s="15" t="s">
        <v>911</v>
      </c>
      <c r="G449" s="15" t="s">
        <v>906</v>
      </c>
      <c r="H449" s="15"/>
      <c r="I449" s="15" t="str">
        <f>"Poptávka TURTO - "&amp;A449&amp;" - "&amp;IF(F449=data!$E$2,"",E449&amp;" - ")&amp;G449&amp;" - "&amp;DAY(B449)&amp;"."&amp;MONTH(B449)&amp;"."&amp;YEAR(B449)</f>
        <v>Poptávka TURTO - Leviat - BD 11 Máchovna - izolační nosníky - 2.3.2026</v>
      </c>
    </row>
    <row r="450" spans="1:9" s="14" customFormat="1" ht="30">
      <c r="A450" s="15" t="s">
        <v>888</v>
      </c>
      <c r="B450" s="17">
        <v>46079</v>
      </c>
      <c r="C450" s="17">
        <v>46084</v>
      </c>
      <c r="D450" s="15" t="s">
        <v>947</v>
      </c>
      <c r="E450" s="15" t="s">
        <v>946</v>
      </c>
      <c r="F450" s="15" t="s">
        <v>911</v>
      </c>
      <c r="G450" s="15" t="s">
        <v>909</v>
      </c>
      <c r="H450" s="15"/>
      <c r="I450" s="15" t="str">
        <f>"Poptávka TURTO - "&amp;A450&amp;" - "&amp;IF(F450=data!$E$2,"",E450&amp;" - ")&amp;G450&amp;" - "&amp;DAY(B450)&amp;"."&amp;MONTH(B450)&amp;"."&amp;YEAR(B450)</f>
        <v>Poptávka TURTO - GeroTop - ZOO Ostrava - prostupy - 26.2.2026</v>
      </c>
    </row>
    <row r="451" spans="1:9" s="14" customFormat="1">
      <c r="A451" s="15" t="s">
        <v>885</v>
      </c>
      <c r="B451" s="17">
        <v>46078</v>
      </c>
      <c r="C451" s="17">
        <v>46079</v>
      </c>
      <c r="D451" s="15" t="s">
        <v>250</v>
      </c>
      <c r="E451" s="15" t="s">
        <v>943</v>
      </c>
      <c r="F451" s="15" t="s">
        <v>911</v>
      </c>
      <c r="G451" s="15" t="s">
        <v>906</v>
      </c>
      <c r="H451" s="15"/>
      <c r="I451" s="15" t="str">
        <f>"Poptávka TURTO - "&amp;A451&amp;" - "&amp;IF(F451=data!$E$2,"",E451&amp;" - ")&amp;G451&amp;" - "&amp;DAY(B451)&amp;"."&amp;MONTH(B451)&amp;"."&amp;YEAR(B451)</f>
        <v>Poptávka TURTO - Leviat - BD Rokycany - izolační nosníky - 25.2.2026</v>
      </c>
    </row>
    <row r="452" spans="1:9" s="14" customFormat="1" ht="30">
      <c r="A452" s="15" t="s">
        <v>940</v>
      </c>
      <c r="B452" s="17">
        <v>46078</v>
      </c>
      <c r="C452" s="17">
        <v>46078</v>
      </c>
      <c r="D452" s="15" t="s">
        <v>487</v>
      </c>
      <c r="E452" s="15" t="s">
        <v>54</v>
      </c>
      <c r="F452" s="15" t="s">
        <v>912</v>
      </c>
      <c r="G452" s="15" t="s">
        <v>941</v>
      </c>
      <c r="H452" s="15"/>
      <c r="I452" s="15" t="str">
        <f>"Poptávka TURTO - "&amp;A452&amp;" - "&amp;IF(F452=data!$E$2,"",E452&amp;" - ")&amp;G452&amp;" - "&amp;DAY(B452)&amp;"."&amp;MONTH(B452)&amp;"."&amp;YEAR(B452)</f>
        <v>Poptávka TURTO - JFP TRADE - Sylomer - 25.2.2026</v>
      </c>
    </row>
    <row r="453" spans="1:9" s="14" customFormat="1" ht="30">
      <c r="A453" s="15" t="s">
        <v>885</v>
      </c>
      <c r="B453" s="17">
        <v>46076</v>
      </c>
      <c r="C453" s="17">
        <v>46079</v>
      </c>
      <c r="D453" s="15" t="s">
        <v>475</v>
      </c>
      <c r="E453" s="15" t="s">
        <v>930</v>
      </c>
      <c r="F453" s="15" t="s">
        <v>911</v>
      </c>
      <c r="G453" s="15" t="s">
        <v>906</v>
      </c>
      <c r="H453" s="15"/>
      <c r="I453" s="15" t="str">
        <f>"Poptávka TURTO - "&amp;A453&amp;" - "&amp;IF(F453=data!$E$2,"",E453&amp;" - ")&amp;G453&amp;" - "&amp;DAY(B453)&amp;"."&amp;MONTH(B453)&amp;"."&amp;YEAR(B453)</f>
        <v>Poptávka TURTO - Leviat - Papírna N1 - izolační nosníky - 23.2.2026</v>
      </c>
    </row>
    <row r="454" spans="1:9" s="14" customFormat="1">
      <c r="A454" s="15" t="s">
        <v>924</v>
      </c>
      <c r="B454" s="17">
        <v>46076</v>
      </c>
      <c r="C454" s="17">
        <v>46078</v>
      </c>
      <c r="D454" s="15" t="s">
        <v>623</v>
      </c>
      <c r="E454" s="15"/>
      <c r="F454" s="15" t="s">
        <v>912</v>
      </c>
      <c r="G454" s="15" t="s">
        <v>925</v>
      </c>
      <c r="H454" s="15"/>
      <c r="I454" s="15" t="str">
        <f>"Poptávka TURTO - "&amp;A454&amp;" - "&amp;IF(F454=data!$E$2,"",E454&amp;" - ")&amp;G454&amp;" - "&amp;DAY(B454)&amp;"."&amp;MONTH(B454)&amp;"."&amp;YEAR(B454)</f>
        <v>Poptávka TURTO - GMYS - ISOLINK - 23.2.2026</v>
      </c>
    </row>
    <row r="455" spans="1:9" s="14" customFormat="1" ht="30">
      <c r="A455" s="15" t="s">
        <v>890</v>
      </c>
      <c r="B455" s="17">
        <v>46076</v>
      </c>
      <c r="C455" s="17">
        <v>46076</v>
      </c>
      <c r="D455" s="15" t="s">
        <v>138</v>
      </c>
      <c r="E455" s="15" t="s">
        <v>52</v>
      </c>
      <c r="F455" s="15"/>
      <c r="G455" s="15" t="s">
        <v>908</v>
      </c>
      <c r="H455" s="15"/>
      <c r="I455" s="15"/>
    </row>
    <row r="456" spans="1:9" s="14" customFormat="1">
      <c r="A456" s="15" t="s">
        <v>885</v>
      </c>
      <c r="B456" s="17">
        <v>46075</v>
      </c>
      <c r="C456" s="17">
        <v>46084</v>
      </c>
      <c r="D456" s="15" t="s">
        <v>318</v>
      </c>
      <c r="E456" s="15" t="s">
        <v>921</v>
      </c>
      <c r="F456" s="15" t="s">
        <v>911</v>
      </c>
      <c r="G456" s="15" t="s">
        <v>906</v>
      </c>
      <c r="H456" s="15"/>
      <c r="I456" s="15" t="str">
        <f>"Poptávka TURTO - "&amp;A456&amp;" - "&amp;IF(F456=data!$E$2,"",E456&amp;" - ")&amp;G456&amp;" - "&amp;DAY(B456)&amp;"."&amp;MONTH(B456)&amp;"."&amp;YEAR(B456)</f>
        <v>Poptávka TURTO - Leviat - Za Valem D1-D3 - izolační nosníky - 22.2.2026</v>
      </c>
    </row>
    <row r="457" spans="1:9" s="14" customFormat="1">
      <c r="A457" s="15" t="s">
        <v>885</v>
      </c>
      <c r="B457" s="17">
        <v>46075</v>
      </c>
      <c r="C457" s="17">
        <v>46076</v>
      </c>
      <c r="D457" s="15" t="s">
        <v>821</v>
      </c>
      <c r="E457" s="15" t="s">
        <v>919</v>
      </c>
      <c r="F457" s="15" t="s">
        <v>911</v>
      </c>
      <c r="G457" s="15" t="s">
        <v>906</v>
      </c>
      <c r="H457" s="15"/>
      <c r="I457" s="15" t="str">
        <f>"Poptávka TURTO - "&amp;A457&amp;" - "&amp;IF(F457=data!$E$2,"",E457&amp;" - ")&amp;G457&amp;" - "&amp;DAY(B457)&amp;"."&amp;MONTH(B457)&amp;"."&amp;YEAR(B457)</f>
        <v>Poptávka TURTO - Leviat - Královské louky, KV - izolační nosníky - 22.2.2026</v>
      </c>
    </row>
    <row r="458" spans="1:9" s="14" customFormat="1">
      <c r="A458" s="15" t="s">
        <v>885</v>
      </c>
      <c r="B458" s="17">
        <v>46073</v>
      </c>
      <c r="C458" s="17">
        <v>46076</v>
      </c>
      <c r="D458" s="15" t="s">
        <v>760</v>
      </c>
      <c r="E458" s="15" t="s">
        <v>65</v>
      </c>
      <c r="F458" s="15" t="s">
        <v>912</v>
      </c>
      <c r="G458" s="15" t="s">
        <v>64</v>
      </c>
      <c r="H458" s="15"/>
      <c r="I458" s="15" t="str">
        <f>"Poptávka TURTO - "&amp;A458&amp;" - "&amp;IF(F458=data!$E$2,"",E458&amp;" - ")&amp;G458&amp;" - "&amp;DAY(B458)&amp;"."&amp;MONTH(B458)&amp;"."&amp;YEAR(B458)</f>
        <v>Poptávka TURTO - Leviat - smykové trny - 20.2.2026</v>
      </c>
    </row>
    <row r="459" spans="1:9" s="14" customFormat="1" ht="30">
      <c r="A459" s="15" t="s">
        <v>885</v>
      </c>
      <c r="B459" s="17">
        <v>46073</v>
      </c>
      <c r="C459" s="17">
        <v>46073</v>
      </c>
      <c r="D459" s="15" t="s">
        <v>175</v>
      </c>
      <c r="E459" s="15" t="s">
        <v>56</v>
      </c>
      <c r="F459" s="15" t="s">
        <v>911</v>
      </c>
      <c r="G459" s="15" t="s">
        <v>906</v>
      </c>
      <c r="H459" s="15"/>
      <c r="I459" s="15" t="str">
        <f>"Poptávka TURTO - "&amp;A459&amp;" - "&amp;IF(F459=data!$E$2,"",E459&amp;" - ")&amp;G459&amp;" - "&amp;DAY(B459)&amp;"."&amp;MONTH(B459)&amp;"."&amp;YEAR(B459)</f>
        <v>Poptávka TURTO - Leviat - BD Třešňová - izolační nosníky - 20.2.2026</v>
      </c>
    </row>
    <row r="460" spans="1:9" s="14" customFormat="1" ht="30">
      <c r="A460" s="15" t="s">
        <v>893</v>
      </c>
      <c r="B460" s="17">
        <v>46072</v>
      </c>
      <c r="C460" s="17">
        <v>46072</v>
      </c>
      <c r="D460" s="15" t="s">
        <v>572</v>
      </c>
      <c r="E460" s="15" t="s">
        <v>57</v>
      </c>
      <c r="F460" s="15" t="s">
        <v>912</v>
      </c>
      <c r="G460" s="15" t="s">
        <v>58</v>
      </c>
      <c r="H460" s="15"/>
      <c r="I460" s="15" t="str">
        <f>"Poptávka TURTO - "&amp;A460&amp;" - "&amp;IF(F460=data!$E$2,"",E460&amp;" - ")&amp;G460&amp;" - "&amp;DAY(B460)&amp;"."&amp;MONTH(B460)&amp;"."&amp;YEAR(B460)</f>
        <v>Poptávka TURTO - Pragoelast - GR desky - 19.2.2026</v>
      </c>
    </row>
    <row r="461" spans="1:9" s="14" customFormat="1">
      <c r="A461" s="15" t="s">
        <v>891</v>
      </c>
      <c r="B461" s="17">
        <v>46072</v>
      </c>
      <c r="C461" s="17">
        <v>46078</v>
      </c>
      <c r="D461" s="15" t="s">
        <v>138</v>
      </c>
      <c r="E461" s="15" t="s">
        <v>52</v>
      </c>
      <c r="F461" s="15" t="s">
        <v>912</v>
      </c>
      <c r="G461" s="15" t="s">
        <v>913</v>
      </c>
      <c r="H461" s="15"/>
      <c r="I461" s="15" t="str">
        <f>"Poptávka TURTO - "&amp;A461&amp;" - "&amp;IF(F461=data!$E$2,"",E461&amp;" - ")&amp;G461&amp;" - "&amp;DAY(B461)&amp;"."&amp;MONTH(B461)&amp;"."&amp;YEAR(B461)</f>
        <v>Poptávka TURTO - Nevoga - vylamovací výztuž - 19.2.2026</v>
      </c>
    </row>
    <row r="462" spans="1:9" s="14" customFormat="1">
      <c r="A462" s="15" t="s">
        <v>886</v>
      </c>
      <c r="B462" s="17">
        <v>46072</v>
      </c>
      <c r="C462" s="17">
        <v>46072</v>
      </c>
      <c r="D462" s="15" t="s">
        <v>152</v>
      </c>
      <c r="E462" s="15" t="s">
        <v>897</v>
      </c>
      <c r="F462" s="15" t="s">
        <v>912</v>
      </c>
      <c r="G462" s="15" t="s">
        <v>907</v>
      </c>
      <c r="H462" s="15"/>
      <c r="I462" s="15" t="str">
        <f>"Poptávka TURTO - "&amp;A462&amp;" - "&amp;IF(F462=data!$E$2,"",E462&amp;" - ")&amp;G462&amp;" - "&amp;DAY(B462)&amp;"."&amp;MONTH(B462)&amp;"."&amp;YEAR(B462)</f>
        <v>Poptávka TURTO - PohlCon - smyková výztuž - 19.2.2026</v>
      </c>
    </row>
    <row r="463" spans="1:9" s="14" customFormat="1" ht="30">
      <c r="A463" s="15" t="s">
        <v>890</v>
      </c>
      <c r="B463" s="17">
        <v>46071</v>
      </c>
      <c r="C463" s="17">
        <v>46054</v>
      </c>
      <c r="D463" s="15" t="s">
        <v>138</v>
      </c>
      <c r="E463" s="15" t="s">
        <v>52</v>
      </c>
      <c r="F463" s="15"/>
      <c r="G463" s="15" t="s">
        <v>908</v>
      </c>
      <c r="H463" s="15"/>
      <c r="I463" s="15" t="str">
        <f>"Poptávka TURTO - "&amp;A463&amp;" - "&amp;IF(F463=data!$E$2,"",E463&amp;" - ")&amp;G463&amp;" - "&amp;DAY(B463)&amp;"."&amp;MONTH(B463)&amp;"."&amp;YEAR(B463)</f>
        <v>Poptávka TURTO - Pro-Doma - Apartmány Rokytná - lenton spojky - 18.2.2026</v>
      </c>
    </row>
    <row r="464" spans="1:9" s="14" customFormat="1" ht="30">
      <c r="A464" s="15" t="s">
        <v>885</v>
      </c>
      <c r="B464" s="17">
        <v>46070</v>
      </c>
      <c r="C464" s="17">
        <v>46079</v>
      </c>
      <c r="D464" s="15" t="s">
        <v>697</v>
      </c>
      <c r="E464" s="15" t="s">
        <v>48</v>
      </c>
      <c r="F464" s="15"/>
      <c r="G464" s="15" t="s">
        <v>906</v>
      </c>
      <c r="H464" s="15"/>
      <c r="I464" s="15" t="str">
        <f>"Poptávka TURTO - "&amp;A464&amp;" - "&amp;IF(F464=data!$E$2,"",E464&amp;" - ")&amp;G464&amp;" - "&amp;DAY(B464)&amp;"."&amp;MONTH(B464)&amp;"."&amp;YEAR(B464)</f>
        <v>Poptávka TURTO - Leviat - RD Druztová - izolační nosníky - 17.2.2026</v>
      </c>
    </row>
    <row r="465" spans="1:9" s="14" customFormat="1">
      <c r="A465" s="15" t="s">
        <v>885</v>
      </c>
      <c r="B465" s="17">
        <v>46070</v>
      </c>
      <c r="C465" s="17">
        <v>46084</v>
      </c>
      <c r="D465" s="15" t="s">
        <v>46</v>
      </c>
      <c r="E465" s="15" t="s">
        <v>47</v>
      </c>
      <c r="F465" s="15"/>
      <c r="G465" s="15" t="s">
        <v>906</v>
      </c>
      <c r="H465" s="15"/>
      <c r="I465" s="15" t="str">
        <f>"Poptávka TURTO - "&amp;A465&amp;" - "&amp;IF(F465=data!$E$2,"",E465&amp;" - ")&amp;G465&amp;" - "&amp;DAY(B465)&amp;"."&amp;MONTH(B465)&amp;"."&amp;YEAR(B465)</f>
        <v>Poptávka TURTO - Leviat - RD Paceřice - izolační nosníky - 17.2.2026</v>
      </c>
    </row>
    <row r="466" spans="1:9" s="14" customFormat="1" ht="30">
      <c r="A466" s="15" t="s">
        <v>888</v>
      </c>
      <c r="B466" s="17">
        <v>46069</v>
      </c>
      <c r="C466" s="17">
        <v>46069</v>
      </c>
      <c r="D466" s="15" t="s">
        <v>557</v>
      </c>
      <c r="E466" s="15" t="s">
        <v>30</v>
      </c>
      <c r="F466" s="15"/>
      <c r="G466" s="15" t="s">
        <v>909</v>
      </c>
      <c r="H466" s="15"/>
      <c r="I466" s="15" t="str">
        <f>"Poptávka TURTO - "&amp;A466&amp;" - "&amp;IF(F466=data!$E$2,"",E466&amp;" - ")&amp;G466&amp;" - "&amp;DAY(B466)&amp;"."&amp;MONTH(B466)&amp;"."&amp;YEAR(B466)</f>
        <v>Poptávka TURTO - GeroTop - BD Zelený Kamýk - prostupy - 16.2.2026</v>
      </c>
    </row>
    <row r="467" spans="1:9" s="14" customFormat="1">
      <c r="A467" s="15" t="s">
        <v>885</v>
      </c>
      <c r="B467" s="17">
        <v>46069</v>
      </c>
      <c r="C467" s="17">
        <v>46069</v>
      </c>
      <c r="D467" s="15" t="s">
        <v>559</v>
      </c>
      <c r="E467" s="15" t="s">
        <v>34</v>
      </c>
      <c r="F467" s="15"/>
      <c r="G467" s="15" t="s">
        <v>906</v>
      </c>
      <c r="H467" s="15"/>
      <c r="I467" s="15" t="str">
        <f>"Poptávka TURTO - "&amp;A467&amp;" - "&amp;IF(F467=data!$E$2,"",E467&amp;" - ")&amp;G467&amp;" - "&amp;DAY(B467)&amp;"."&amp;MONTH(B467)&amp;"."&amp;YEAR(B467)</f>
        <v>Poptávka TURTO - Leviat - Apartmány Odra - izolační nosníky - 16.2.2026</v>
      </c>
    </row>
    <row r="468" spans="1:9" s="14" customFormat="1">
      <c r="A468" s="15" t="s">
        <v>889</v>
      </c>
      <c r="B468" s="17">
        <v>46066</v>
      </c>
      <c r="C468" s="17">
        <v>46070</v>
      </c>
      <c r="D468" s="15" t="s">
        <v>578</v>
      </c>
      <c r="E468" s="15" t="s">
        <v>28</v>
      </c>
      <c r="F468" s="15" t="s">
        <v>912</v>
      </c>
      <c r="G468" s="15" t="s">
        <v>914</v>
      </c>
      <c r="H468" s="15"/>
      <c r="I468" s="15" t="str">
        <f>"Poptávka TURTO - "&amp;A468&amp;" - "&amp;IF(F468=data!$E$2,"",E468&amp;" - ")&amp;G468&amp;" - "&amp;DAY(B468)&amp;"."&amp;MONTH(B468)&amp;"."&amp;YEAR(B468)</f>
        <v>Poptávka TURTO - Peikko - mezivýplň - 13.2.2026</v>
      </c>
    </row>
    <row r="469" spans="1:9" s="14" customFormat="1">
      <c r="A469" s="15" t="s">
        <v>888</v>
      </c>
      <c r="B469" s="17">
        <v>46066</v>
      </c>
      <c r="C469" s="17">
        <v>46066</v>
      </c>
      <c r="D469" s="15" t="s">
        <v>577</v>
      </c>
      <c r="E469" s="15" t="s">
        <v>6</v>
      </c>
      <c r="F469" s="15"/>
      <c r="G469" s="15" t="s">
        <v>906</v>
      </c>
      <c r="H469" s="15"/>
      <c r="I469" s="15" t="str">
        <f>"Poptávka TURTO - "&amp;A469&amp;" - "&amp;IF(F469=data!$E$2,"",E469&amp;" - ")&amp;G469&amp;" - "&amp;DAY(B469)&amp;"."&amp;MONTH(B469)&amp;"."&amp;YEAR(B469)</f>
        <v>Poptávka TURTO - GeroTop - Kaskády Barrandov - izolační nosníky - 13.2.2026</v>
      </c>
    </row>
    <row r="470" spans="1:9" s="14" customFormat="1" ht="30">
      <c r="A470" s="15" t="s">
        <v>885</v>
      </c>
      <c r="B470" s="17">
        <v>46066</v>
      </c>
      <c r="C470" s="17">
        <v>46070</v>
      </c>
      <c r="D470" s="15" t="s">
        <v>557</v>
      </c>
      <c r="E470" s="15" t="s">
        <v>30</v>
      </c>
      <c r="F470" s="15"/>
      <c r="G470" s="15" t="s">
        <v>906</v>
      </c>
      <c r="H470" s="15"/>
      <c r="I470" s="15" t="str">
        <f>"Poptávka TURTO - "&amp;A470&amp;" - "&amp;IF(F470=data!$E$2,"",E470&amp;" - ")&amp;G470&amp;" - "&amp;DAY(B470)&amp;"."&amp;MONTH(B470)&amp;"."&amp;YEAR(B470)</f>
        <v>Poptávka TURTO - Leviat - BD Zelený Kamýk - izolační nosníky - 13.2.2026</v>
      </c>
    </row>
    <row r="471" spans="1:9" s="14" customFormat="1">
      <c r="A471" s="15" t="s">
        <v>888</v>
      </c>
      <c r="B471" s="17">
        <v>46064</v>
      </c>
      <c r="C471" s="17">
        <v>46065</v>
      </c>
      <c r="D471" s="15" t="s">
        <v>577</v>
      </c>
      <c r="E471" s="15" t="s">
        <v>6</v>
      </c>
      <c r="F471" s="15"/>
      <c r="G471" s="15" t="s">
        <v>909</v>
      </c>
      <c r="H471" s="15"/>
      <c r="I471" s="15" t="str">
        <f>"Poptávka TURTO - "&amp;A471&amp;" - "&amp;IF(F471=data!$E$2,"",E471&amp;" - ")&amp;G471&amp;" - "&amp;DAY(B471)&amp;"."&amp;MONTH(B471)&amp;"."&amp;YEAR(B471)</f>
        <v>Poptávka TURTO - GeroTop - Kaskády Barrandov - prostupy - 11.2.2026</v>
      </c>
    </row>
    <row r="472" spans="1:9" s="14" customFormat="1">
      <c r="A472" s="15" t="s">
        <v>886</v>
      </c>
      <c r="B472" s="17">
        <v>46064</v>
      </c>
      <c r="C472" s="17">
        <v>46098</v>
      </c>
      <c r="D472" s="15" t="s">
        <v>318</v>
      </c>
      <c r="E472" s="15" t="s">
        <v>894</v>
      </c>
      <c r="F472" s="15"/>
      <c r="G472" s="15" t="s">
        <v>906</v>
      </c>
      <c r="H472" s="15"/>
      <c r="I472" s="15" t="str">
        <f>"Poptávka TURTO - "&amp;A472&amp;" - "&amp;IF(F472=data!$E$2,"",E472&amp;" - ")&amp;G472&amp;" - "&amp;DAY(B472)&amp;"."&amp;MONTH(B472)&amp;"."&amp;YEAR(B472)</f>
        <v>Poptávka TURTO - PohlCon - BD Petrská 18 - izolační nosníky - 11.2.2026</v>
      </c>
    </row>
    <row r="473" spans="1:9" s="14" customFormat="1">
      <c r="A473" s="15" t="s">
        <v>887</v>
      </c>
      <c r="B473" s="17">
        <v>46064</v>
      </c>
      <c r="C473" s="17">
        <v>46069</v>
      </c>
      <c r="D473" s="15" t="s">
        <v>318</v>
      </c>
      <c r="E473" s="15" t="s">
        <v>894</v>
      </c>
      <c r="F473" s="15"/>
      <c r="G473" s="15" t="s">
        <v>906</v>
      </c>
      <c r="H473" s="15"/>
      <c r="I473" s="15" t="str">
        <f>"Poptávka TURTO - "&amp;A473&amp;" - "&amp;IF(F473=data!$E$2,"",E473&amp;" - ")&amp;G473&amp;" - "&amp;DAY(B473)&amp;"."&amp;MONTH(B473)&amp;"."&amp;YEAR(B473)</f>
        <v>Poptávka TURTO - MaxFrank - BD Petrská 18 - izolační nosníky - 11.2.2026</v>
      </c>
    </row>
    <row r="474" spans="1:9" s="14" customFormat="1">
      <c r="A474" s="15" t="s">
        <v>885</v>
      </c>
      <c r="B474" s="17">
        <v>46064</v>
      </c>
      <c r="C474" s="17">
        <v>46070</v>
      </c>
      <c r="D474" s="15" t="s">
        <v>318</v>
      </c>
      <c r="E474" s="15" t="s">
        <v>894</v>
      </c>
      <c r="F474" s="15"/>
      <c r="G474" s="15" t="s">
        <v>906</v>
      </c>
      <c r="H474" s="15"/>
      <c r="I474" s="15" t="str">
        <f>"Poptávka TURTO - "&amp;A474&amp;" - "&amp;IF(F474=data!$E$2,"",E474&amp;" - ")&amp;G474&amp;" - "&amp;DAY(B474)&amp;"."&amp;MONTH(B474)&amp;"."&amp;YEAR(B474)</f>
        <v>Poptávka TURTO - Leviat - BD Petrská 18 - izolační nosníky - 11.2.2026</v>
      </c>
    </row>
    <row r="475" spans="1:9" s="14" customFormat="1">
      <c r="A475" s="15" t="s">
        <v>886</v>
      </c>
      <c r="B475" s="17">
        <v>46063</v>
      </c>
      <c r="C475" s="17">
        <v>46063</v>
      </c>
      <c r="D475" s="15" t="s">
        <v>720</v>
      </c>
      <c r="E475" s="15" t="s">
        <v>897</v>
      </c>
      <c r="F475" s="15" t="s">
        <v>912</v>
      </c>
      <c r="G475" s="15" t="s">
        <v>64</v>
      </c>
      <c r="H475" s="15"/>
      <c r="I475" s="15" t="str">
        <f>"Poptávka TURTO - "&amp;A475&amp;" - "&amp;IF(F475=data!$E$2,"",E475&amp;" - ")&amp;G475&amp;" - "&amp;DAY(B475)&amp;"."&amp;MONTH(B475)&amp;"."&amp;YEAR(B475)</f>
        <v>Poptávka TURTO - PohlCon - smykové trny - 10.2.2026</v>
      </c>
    </row>
    <row r="476" spans="1:9" s="14" customFormat="1" ht="30">
      <c r="A476" s="15" t="s">
        <v>885</v>
      </c>
      <c r="B476" s="17">
        <v>46062</v>
      </c>
      <c r="C476" s="17">
        <v>46062</v>
      </c>
      <c r="D476" s="15" t="s">
        <v>386</v>
      </c>
      <c r="E476" s="15" t="s">
        <v>1</v>
      </c>
      <c r="F476" s="15"/>
      <c r="G476" s="15"/>
      <c r="H476" s="15"/>
      <c r="I476" s="15" t="str">
        <f>"Poptávka TURTO - "&amp;A476&amp;" - "&amp;IF(F476=data!$E$2,"",E476&amp;" - ")&amp;G476&amp;" - "&amp;DAY(B476)&amp;"."&amp;MONTH(B476)&amp;"."&amp;YEAR(B476)</f>
        <v>Poptávka TURTO - Leviat - Bytová rezidence Petruškova -  - 9.2.2026</v>
      </c>
    </row>
    <row r="477" spans="1:9" s="14" customFormat="1">
      <c r="A477" s="15" t="s">
        <v>885</v>
      </c>
      <c r="B477" s="17">
        <v>46059</v>
      </c>
      <c r="C477" s="17">
        <v>46065</v>
      </c>
      <c r="D477" s="15" t="s">
        <v>138</v>
      </c>
      <c r="E477" s="15" t="s">
        <v>9</v>
      </c>
      <c r="F477" s="15"/>
      <c r="G477" s="15"/>
      <c r="H477" s="15"/>
      <c r="I477" s="15" t="str">
        <f>"Poptávka TURTO - "&amp;A477&amp;" - "&amp;IF(F477=data!$E$2,"",E477&amp;" - ")&amp;G477&amp;" - "&amp;DAY(B477)&amp;"."&amp;MONTH(B477)&amp;"."&amp;YEAR(B477)</f>
        <v>Poptávka TURTO - Leviat - BD Jaroměř -  - 6.2.2026</v>
      </c>
    </row>
    <row r="478" spans="1:9">
      <c r="A478" s="15" t="s">
        <v>886</v>
      </c>
      <c r="B478" s="17">
        <v>46058</v>
      </c>
      <c r="C478" s="17">
        <v>46062</v>
      </c>
      <c r="D478" s="15" t="s">
        <v>138</v>
      </c>
      <c r="E478" s="15" t="s">
        <v>9</v>
      </c>
      <c r="I478" s="15" t="str">
        <f>"Poptávka TURTO - "&amp;A478&amp;" - "&amp;IF(F478=data!$E$2,"",E478&amp;" - ")&amp;G478&amp;" - "&amp;DAY(B478)&amp;"."&amp;MONTH(B478)&amp;"."&amp;YEAR(B478)</f>
        <v>Poptávka TURTO - PohlCon - BD Jaroměř -  - 5.2.2026</v>
      </c>
    </row>
    <row r="479" spans="1:9">
      <c r="A479" s="15" t="s">
        <v>885</v>
      </c>
      <c r="B479" s="17">
        <v>46058</v>
      </c>
      <c r="C479" s="17">
        <v>46064</v>
      </c>
      <c r="D479" s="15" t="s">
        <v>499</v>
      </c>
      <c r="E479" s="15" t="s">
        <v>20</v>
      </c>
      <c r="I479" s="15" t="str">
        <f>"Poptávka TURTO - "&amp;A479&amp;" - "&amp;IF(F479=data!$E$2,"",E479&amp;" - ")&amp;G479&amp;" - "&amp;DAY(B479)&amp;"."&amp;MONTH(B479)&amp;"."&amp;YEAR(B479)</f>
        <v>Poptávka TURTO - Leviat - Viladům Hvězda -  - 5.2.2026</v>
      </c>
    </row>
    <row r="480" spans="1:9" ht="30">
      <c r="A480" s="15" t="s">
        <v>885</v>
      </c>
      <c r="B480" s="17">
        <v>46058</v>
      </c>
      <c r="C480" s="17">
        <v>46066</v>
      </c>
      <c r="D480" s="15" t="s">
        <v>362</v>
      </c>
      <c r="E480" s="15" t="s">
        <v>18</v>
      </c>
      <c r="I480" s="15" t="str">
        <f>"Poptávka TURTO - "&amp;A480&amp;" - "&amp;IF(F480=data!$E$2,"",E480&amp;" - ")&amp;G480&amp;" - "&amp;DAY(B480)&amp;"."&amp;MONTH(B480)&amp;"."&amp;YEAR(B480)</f>
        <v>Poptávka TURTO - Leviat - GL Apartments -  - 5.2.2026</v>
      </c>
    </row>
    <row r="481" spans="1:9">
      <c r="A481" s="15" t="s">
        <v>886</v>
      </c>
      <c r="B481" s="17">
        <v>46056</v>
      </c>
      <c r="C481" s="17">
        <v>46090</v>
      </c>
      <c r="D481" s="15" t="s">
        <v>577</v>
      </c>
      <c r="E481" s="15" t="s">
        <v>6</v>
      </c>
      <c r="I481" s="15" t="str">
        <f>"Poptávka TURTO - "&amp;A481&amp;" - "&amp;IF(F481=data!$E$2,"",E481&amp;" - ")&amp;G481&amp;" - "&amp;DAY(B481)&amp;"."&amp;MONTH(B481)&amp;"."&amp;YEAR(B481)</f>
        <v>Poptávka TURTO - PohlCon - Kaskády Barrandov -  - 3.2.2026</v>
      </c>
    </row>
    <row r="482" spans="1:9">
      <c r="A482" s="15" t="s">
        <v>885</v>
      </c>
      <c r="B482" s="17">
        <v>46056</v>
      </c>
      <c r="C482" s="17">
        <v>46069</v>
      </c>
      <c r="D482" s="15" t="s">
        <v>577</v>
      </c>
      <c r="E482" s="15" t="s">
        <v>6</v>
      </c>
      <c r="I482" s="15" t="str">
        <f>"Poptávka TURTO - "&amp;A482&amp;" - "&amp;IF(F482=data!$E$2,"",E482&amp;" - ")&amp;G482&amp;" - "&amp;DAY(B482)&amp;"."&amp;MONTH(B482)&amp;"."&amp;YEAR(B482)</f>
        <v>Poptávka TURTO - Leviat - Kaskády Barrandov -  - 3.2.2026</v>
      </c>
    </row>
    <row r="483" spans="1:9" ht="30">
      <c r="A483" s="15" t="s">
        <v>885</v>
      </c>
      <c r="B483" s="17">
        <v>46052</v>
      </c>
      <c r="C483" s="17">
        <v>46071</v>
      </c>
      <c r="D483" s="15" t="s">
        <v>697</v>
      </c>
      <c r="E483" s="15" t="s">
        <v>49</v>
      </c>
      <c r="I483" s="15" t="str">
        <f>"Poptávka TURTO - "&amp;A483&amp;" - "&amp;IF(F483=data!$E$2,"",E483&amp;" - ")&amp;G483&amp;" - "&amp;DAY(B483)&amp;"."&amp;MONTH(B483)&amp;"."&amp;YEAR(B483)</f>
        <v>Poptávka TURTO - Leviat - RD Na Zavadilce -  - 30.1.2026</v>
      </c>
    </row>
  </sheetData>
  <sortState xmlns:xlrd2="http://schemas.microsoft.com/office/spreadsheetml/2017/richdata2" ref="A458:H483">
    <sortCondition descending="1" ref="B458:B483"/>
  </sortState>
  <conditionalFormatting sqref="A1:H1048576">
    <cfRule type="expression" dxfId="5" priority="1">
      <formula>ISNUMBER($C1)</formula>
    </cfRule>
  </conditionalFormatting>
  <conditionalFormatting sqref="B1:B1048576">
    <cfRule type="expression" dxfId="4" priority="2">
      <formula>AND(TODAY()-$B1&gt;5,ISNUMBER($B1))</formula>
    </cfRule>
    <cfRule type="expression" dxfId="3" priority="3">
      <formula>AND(TODAY()-$B1&gt;3,ISNUMBER($B1))</formula>
    </cfRule>
  </conditionalFormatting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7A031CA-B64F-4F9B-B3E9-15BF82576D75}">
          <x14:formula1>
            <xm:f>Akce!$A:$A</xm:f>
          </x14:formula1>
          <xm:sqref>E2:E483</xm:sqref>
        </x14:dataValidation>
        <x14:dataValidation type="list" allowBlank="1" showInputMessage="1" showErrorMessage="1" xr:uid="{8F3367D6-3DD8-4B7E-B25A-396301B14043}">
          <x14:formula1>
            <xm:f>data!$E$1:$E$2</xm:f>
          </x14:formula1>
          <xm:sqref>F2:F483</xm:sqref>
        </x14:dataValidation>
        <x14:dataValidation type="list" allowBlank="1" showInputMessage="1" showErrorMessage="1" xr:uid="{5333995D-F953-4FA7-9CD5-D8E670412455}">
          <x14:formula1>
            <xm:f>data!$D:$D</xm:f>
          </x14:formula1>
          <xm:sqref>A2:A483</xm:sqref>
        </x14:dataValidation>
        <x14:dataValidation type="list" allowBlank="1" showInputMessage="1" showErrorMessage="1" xr:uid="{96ADC90D-B362-467D-8DFF-5A1C4D6FE759}">
          <x14:formula1>
            <xm:f>data!$A:$A</xm:f>
          </x14:formula1>
          <xm:sqref>D2:D483</xm:sqref>
        </x14:dataValidation>
        <x14:dataValidation type="list" allowBlank="1" showInputMessage="1" showErrorMessage="1" xr:uid="{6B0DCEFC-C102-47BF-BF46-9D12724E20B3}">
          <x14:formula1>
            <xm:f>data!$F:$F</xm:f>
          </x14:formula1>
          <xm:sqref>G2:G483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B201C-B0E3-49C6-91E2-0B5B4E81D96D}">
  <sheetPr codeName="List3"/>
  <dimension ref="A1:H58"/>
  <sheetViews>
    <sheetView topLeftCell="D1" workbookViewId="0">
      <selection activeCell="H3" sqref="H3"/>
    </sheetView>
  </sheetViews>
  <sheetFormatPr defaultColWidth="8.85546875" defaultRowHeight="15"/>
  <cols>
    <col min="1" max="1" width="10.140625" style="17" bestFit="1" customWidth="1"/>
    <col min="2" max="2" width="11" style="17" bestFit="1" customWidth="1"/>
    <col min="3" max="3" width="26.140625" style="15" customWidth="1"/>
    <col min="4" max="4" width="47" style="15" customWidth="1"/>
    <col min="5" max="5" width="12.85546875" style="15" bestFit="1" customWidth="1"/>
    <col min="6" max="6" width="24.7109375" style="15" customWidth="1"/>
    <col min="7" max="7" width="22.42578125" style="15" customWidth="1"/>
    <col min="8" max="8" width="80.42578125" style="15" customWidth="1"/>
    <col min="9" max="16384" width="8.85546875" style="15"/>
  </cols>
  <sheetData>
    <row r="1" spans="1:8" s="14" customFormat="1" ht="30">
      <c r="A1" s="16" t="s">
        <v>883</v>
      </c>
      <c r="B1" s="16" t="s">
        <v>884</v>
      </c>
      <c r="C1" s="14" t="s">
        <v>867</v>
      </c>
      <c r="D1" s="14" t="s">
        <v>11</v>
      </c>
      <c r="E1" s="14" t="s">
        <v>910</v>
      </c>
      <c r="F1" s="14" t="s">
        <v>905</v>
      </c>
      <c r="G1" s="14" t="s">
        <v>10</v>
      </c>
      <c r="H1" s="14" t="s">
        <v>915</v>
      </c>
    </row>
    <row r="2" spans="1:8" s="14" customFormat="1">
      <c r="A2" s="17"/>
      <c r="B2" s="17"/>
      <c r="C2" s="15"/>
      <c r="D2" s="15"/>
      <c r="E2" s="15"/>
      <c r="F2" s="15"/>
      <c r="G2" s="15"/>
      <c r="H2" s="15" t="str">
        <f>"Optimalizace - "&amp;C2&amp;" - "&amp;IF(E2=data!$E$2,"",D2&amp;" - ")&amp;F2&amp;" - "&amp;DAY(A2)&amp;"."&amp;MONTH(A2)&amp;"."&amp;YEAR(A2)</f>
        <v>Optimalizace -  -  -  - 0.1.1900</v>
      </c>
    </row>
    <row r="3" spans="1:8" s="14" customFormat="1">
      <c r="A3" s="17">
        <v>46248</v>
      </c>
      <c r="B3" s="17"/>
      <c r="C3" s="15" t="s">
        <v>572</v>
      </c>
      <c r="D3" s="15" t="s">
        <v>30</v>
      </c>
      <c r="E3" s="15" t="s">
        <v>911</v>
      </c>
      <c r="F3" s="15" t="s">
        <v>906</v>
      </c>
      <c r="G3" s="15"/>
      <c r="H3" s="15" t="s">
        <v>1415</v>
      </c>
    </row>
    <row r="4" spans="1:8" s="14" customFormat="1">
      <c r="A4" s="17">
        <v>46238</v>
      </c>
      <c r="B4" s="17"/>
      <c r="C4" s="15" t="s">
        <v>318</v>
      </c>
      <c r="D4" s="15" t="s">
        <v>35</v>
      </c>
      <c r="E4" s="15" t="s">
        <v>911</v>
      </c>
      <c r="F4" s="15" t="s">
        <v>906</v>
      </c>
      <c r="G4" s="15"/>
      <c r="H4" s="15" t="s">
        <v>1399</v>
      </c>
    </row>
    <row r="5" spans="1:8" s="14" customFormat="1">
      <c r="A5" s="17">
        <v>46233</v>
      </c>
      <c r="B5" s="17">
        <v>46233</v>
      </c>
      <c r="C5" s="15" t="s">
        <v>318</v>
      </c>
      <c r="D5" s="15" t="s">
        <v>921</v>
      </c>
      <c r="E5" s="15" t="s">
        <v>911</v>
      </c>
      <c r="F5" s="15" t="s">
        <v>906</v>
      </c>
      <c r="G5" s="15"/>
      <c r="H5" s="15" t="str">
        <f>"Optimalizace - "&amp;C5&amp;" - "&amp;IF(E5=data!$E$2,"",D5&amp;" - ")&amp;F5&amp;" - "&amp;DAY(A5)&amp;"."&amp;MONTH(A5)&amp;"."&amp;YEAR(A5)</f>
        <v>Optimalizace - Hinton, a.s. - Za Valem D1-D3 - izolační nosníky - 30.7.2026</v>
      </c>
    </row>
    <row r="6" spans="1:8" s="14" customFormat="1">
      <c r="A6" s="17">
        <v>46227</v>
      </c>
      <c r="B6" s="17"/>
      <c r="C6" s="15" t="s">
        <v>269</v>
      </c>
      <c r="D6" s="15" t="s">
        <v>1369</v>
      </c>
      <c r="E6" s="15" t="s">
        <v>911</v>
      </c>
      <c r="F6" s="15" t="s">
        <v>906</v>
      </c>
      <c r="G6" s="15"/>
      <c r="H6" s="15" t="s">
        <v>1383</v>
      </c>
    </row>
    <row r="7" spans="1:8" s="14" customFormat="1">
      <c r="A7" s="17">
        <v>46206</v>
      </c>
      <c r="B7" s="17">
        <v>46206</v>
      </c>
      <c r="C7" s="15" t="s">
        <v>572</v>
      </c>
      <c r="D7" s="15" t="s">
        <v>1318</v>
      </c>
      <c r="E7" s="15" t="s">
        <v>911</v>
      </c>
      <c r="F7" s="15" t="s">
        <v>906</v>
      </c>
      <c r="G7" s="15"/>
      <c r="H7" s="15"/>
    </row>
    <row r="8" spans="1:8" s="14" customFormat="1">
      <c r="A8" s="17">
        <v>46204</v>
      </c>
      <c r="B8" s="17">
        <v>46213</v>
      </c>
      <c r="C8" s="15" t="s">
        <v>557</v>
      </c>
      <c r="D8" s="15" t="s">
        <v>14</v>
      </c>
      <c r="E8" s="15" t="s">
        <v>911</v>
      </c>
      <c r="F8" s="15" t="s">
        <v>906</v>
      </c>
      <c r="G8" s="15"/>
      <c r="H8" s="15" t="s">
        <v>1341</v>
      </c>
    </row>
    <row r="9" spans="1:8" s="14" customFormat="1">
      <c r="A9" s="17">
        <v>46204</v>
      </c>
      <c r="B9" s="17">
        <v>46204</v>
      </c>
      <c r="C9" s="15" t="s">
        <v>130</v>
      </c>
      <c r="D9" s="15" t="s">
        <v>1315</v>
      </c>
      <c r="E9" s="15" t="s">
        <v>911</v>
      </c>
      <c r="F9" s="15" t="s">
        <v>906</v>
      </c>
      <c r="G9" s="15"/>
      <c r="H9" s="15" t="s">
        <v>1339</v>
      </c>
    </row>
    <row r="10" spans="1:8" s="14" customFormat="1" ht="30">
      <c r="A10" s="17">
        <v>46196</v>
      </c>
      <c r="B10" s="17"/>
      <c r="C10" s="15" t="s">
        <v>719</v>
      </c>
      <c r="D10" s="15" t="s">
        <v>1328</v>
      </c>
      <c r="E10" s="15" t="s">
        <v>911</v>
      </c>
      <c r="F10" s="15"/>
      <c r="G10" s="15"/>
      <c r="H10" s="15" t="s">
        <v>1329</v>
      </c>
    </row>
    <row r="11" spans="1:8" s="14" customFormat="1">
      <c r="A11" s="17">
        <v>46181</v>
      </c>
      <c r="B11" s="17"/>
      <c r="C11" s="15" t="s">
        <v>847</v>
      </c>
      <c r="D11" s="15" t="s">
        <v>1276</v>
      </c>
      <c r="E11" s="15" t="s">
        <v>911</v>
      </c>
      <c r="F11" s="15"/>
      <c r="G11" s="15"/>
      <c r="H11" s="15" t="s">
        <v>1291</v>
      </c>
    </row>
    <row r="12" spans="1:8" s="14" customFormat="1">
      <c r="A12" s="17">
        <v>46178</v>
      </c>
      <c r="B12" s="17">
        <v>46204</v>
      </c>
      <c r="C12" s="15" t="s">
        <v>1216</v>
      </c>
      <c r="D12" s="15" t="s">
        <v>1217</v>
      </c>
      <c r="E12" s="15"/>
      <c r="F12" s="15"/>
      <c r="G12" s="15"/>
      <c r="H12" s="15" t="s">
        <v>1282</v>
      </c>
    </row>
    <row r="13" spans="1:8" s="14" customFormat="1">
      <c r="A13" s="17">
        <v>46177</v>
      </c>
      <c r="B13" s="17">
        <v>46178</v>
      </c>
      <c r="C13" s="15" t="s">
        <v>475</v>
      </c>
      <c r="D13" s="15" t="s">
        <v>1244</v>
      </c>
      <c r="E13" s="15"/>
      <c r="F13" s="15"/>
      <c r="G13" s="15"/>
      <c r="H13" s="15" t="s">
        <v>1283</v>
      </c>
    </row>
    <row r="14" spans="1:8" s="14" customFormat="1">
      <c r="A14" s="17">
        <v>46170</v>
      </c>
      <c r="B14" s="17">
        <v>46191</v>
      </c>
      <c r="C14" s="15" t="s">
        <v>318</v>
      </c>
      <c r="D14" s="15" t="s">
        <v>1178</v>
      </c>
      <c r="E14" s="15" t="s">
        <v>911</v>
      </c>
      <c r="F14" s="15" t="s">
        <v>906</v>
      </c>
      <c r="G14" s="15"/>
      <c r="H14" s="15" t="s">
        <v>1252</v>
      </c>
    </row>
    <row r="15" spans="1:8" s="14" customFormat="1">
      <c r="A15" s="17">
        <v>46165</v>
      </c>
      <c r="B15" s="17">
        <v>46167</v>
      </c>
      <c r="C15" s="15" t="s">
        <v>386</v>
      </c>
      <c r="D15" s="15" t="s">
        <v>1028</v>
      </c>
      <c r="E15" s="15" t="s">
        <v>911</v>
      </c>
      <c r="F15" s="15"/>
      <c r="G15" s="15"/>
      <c r="H15" s="15" t="s">
        <v>1234</v>
      </c>
    </row>
    <row r="16" spans="1:8" s="14" customFormat="1">
      <c r="A16" s="17">
        <v>46163</v>
      </c>
      <c r="B16" s="17"/>
      <c r="C16" s="15" t="s">
        <v>463</v>
      </c>
      <c r="D16" s="15" t="s">
        <v>1225</v>
      </c>
      <c r="E16" s="15" t="s">
        <v>911</v>
      </c>
      <c r="F16" s="15" t="s">
        <v>906</v>
      </c>
      <c r="G16" s="15"/>
      <c r="H16" s="15" t="s">
        <v>1226</v>
      </c>
    </row>
    <row r="17" spans="1:8" s="14" customFormat="1">
      <c r="A17" s="17">
        <v>46154</v>
      </c>
      <c r="B17" s="17"/>
      <c r="C17" s="15" t="s">
        <v>175</v>
      </c>
      <c r="D17" s="15" t="s">
        <v>1194</v>
      </c>
      <c r="E17" s="15" t="s">
        <v>911</v>
      </c>
      <c r="F17" s="15" t="s">
        <v>906</v>
      </c>
      <c r="G17" s="15"/>
      <c r="H17" s="15" t="str">
        <f>"Optimalizace - "&amp;C17&amp;" - "&amp;IF(E17=data!$E$2,"",D17&amp;" - ")&amp;F17&amp;" - "&amp;DAY(A17)&amp;"."&amp;MONTH(A17)&amp;"."&amp;YEAR(A17)</f>
        <v>Optimalizace - Budžak Building s.r.o. - BD Kbely - izolační nosníky - 12.5.2026</v>
      </c>
    </row>
    <row r="18" spans="1:8" s="14" customFormat="1">
      <c r="A18" s="17">
        <v>46153</v>
      </c>
      <c r="B18" s="17">
        <v>46191</v>
      </c>
      <c r="C18" s="15" t="s">
        <v>301</v>
      </c>
      <c r="D18" s="15" t="s">
        <v>1198</v>
      </c>
      <c r="E18" s="15"/>
      <c r="F18" s="15"/>
      <c r="G18" s="15"/>
      <c r="H18" s="15" t="s">
        <v>1200</v>
      </c>
    </row>
    <row r="19" spans="1:8" s="14" customFormat="1">
      <c r="A19" s="17">
        <v>46147</v>
      </c>
      <c r="B19" s="17"/>
      <c r="C19" s="15"/>
      <c r="D19" s="15" t="s">
        <v>1185</v>
      </c>
      <c r="E19" s="15"/>
      <c r="F19" s="15"/>
      <c r="G19" s="15"/>
      <c r="H19" s="15" t="s">
        <v>1187</v>
      </c>
    </row>
    <row r="20" spans="1:8" s="14" customFormat="1">
      <c r="A20" s="17">
        <v>46146</v>
      </c>
      <c r="B20" s="17">
        <v>46146</v>
      </c>
      <c r="C20" s="15" t="s">
        <v>760</v>
      </c>
      <c r="D20" s="15" t="s">
        <v>1091</v>
      </c>
      <c r="E20" s="15" t="s">
        <v>911</v>
      </c>
      <c r="F20" s="15" t="s">
        <v>906</v>
      </c>
      <c r="G20" s="15"/>
      <c r="H20" s="15" t="s">
        <v>1182</v>
      </c>
    </row>
    <row r="21" spans="1:8" s="14" customFormat="1">
      <c r="A21" s="17">
        <v>46132</v>
      </c>
      <c r="B21" s="17">
        <v>46154</v>
      </c>
      <c r="C21" s="15" t="s">
        <v>577</v>
      </c>
      <c r="D21" s="15" t="s">
        <v>1150</v>
      </c>
      <c r="E21" s="15" t="s">
        <v>911</v>
      </c>
      <c r="F21" s="15" t="s">
        <v>906</v>
      </c>
      <c r="G21" s="15"/>
      <c r="H21" s="15" t="s">
        <v>1152</v>
      </c>
    </row>
    <row r="22" spans="1:8" s="14" customFormat="1">
      <c r="A22" s="17">
        <v>46132</v>
      </c>
      <c r="B22" s="17">
        <v>46157</v>
      </c>
      <c r="C22" s="15" t="s">
        <v>577</v>
      </c>
      <c r="D22" s="15" t="s">
        <v>937</v>
      </c>
      <c r="E22" s="15" t="s">
        <v>911</v>
      </c>
      <c r="F22" s="15" t="s">
        <v>906</v>
      </c>
      <c r="G22" s="15"/>
      <c r="H22" s="15" t="s">
        <v>1149</v>
      </c>
    </row>
    <row r="23" spans="1:8" s="14" customFormat="1">
      <c r="A23" s="17">
        <v>46110</v>
      </c>
      <c r="B23" s="17">
        <v>46113</v>
      </c>
      <c r="C23" s="15" t="s">
        <v>577</v>
      </c>
      <c r="D23" s="15" t="s">
        <v>937</v>
      </c>
      <c r="E23" s="15" t="s">
        <v>911</v>
      </c>
      <c r="F23" s="15" t="s">
        <v>906</v>
      </c>
      <c r="G23" s="15"/>
      <c r="H23" s="15" t="str">
        <f>"Optimalizace - "&amp;C23&amp;" - "&amp;IF(E23=data!$E$2,"",D23&amp;" - ")&amp;F23&amp;" - "&amp;DAY(A23)&amp;"."&amp;MONTH(A23)&amp;"."&amp;YEAR(A23)</f>
        <v>Optimalizace - PP 53, a.s. - BD Parmská - izolační nosníky - 29.3.2026</v>
      </c>
    </row>
    <row r="24" spans="1:8" s="14" customFormat="1">
      <c r="A24" s="17">
        <v>46100</v>
      </c>
      <c r="B24" s="17">
        <v>46102</v>
      </c>
      <c r="C24" s="15" t="s">
        <v>577</v>
      </c>
      <c r="D24" s="15" t="s">
        <v>6</v>
      </c>
      <c r="E24" s="15" t="s">
        <v>911</v>
      </c>
      <c r="F24" s="15" t="s">
        <v>906</v>
      </c>
      <c r="G24" s="15"/>
      <c r="H24" s="15" t="str">
        <f>"Optimalizace - "&amp;C24&amp;" - "&amp;IF(E24=data!$E$2,"",D24&amp;" - ")&amp;F24&amp;" - "&amp;DAY(A24)&amp;"."&amp;MONTH(A24)&amp;"."&amp;YEAR(A24)</f>
        <v>Optimalizace - PP 53, a.s. - Kaskády Barrandov - izolační nosníky - 19.3.2026</v>
      </c>
    </row>
    <row r="25" spans="1:8" s="14" customFormat="1">
      <c r="A25" s="17">
        <v>46097</v>
      </c>
      <c r="B25" s="17">
        <v>46103</v>
      </c>
      <c r="C25" s="15" t="s">
        <v>198</v>
      </c>
      <c r="D25" s="15" t="s">
        <v>1042</v>
      </c>
      <c r="E25" s="15" t="s">
        <v>911</v>
      </c>
      <c r="F25" s="15" t="s">
        <v>906</v>
      </c>
      <c r="G25" s="15"/>
      <c r="H25" s="15" t="str">
        <f>"Optimalizace - "&amp;C25&amp;" - "&amp;IF(E25=data!$E$2,"",D25&amp;" - ")&amp;F25&amp;" - "&amp;DAY(A25)&amp;"."&amp;MONTH(A25)&amp;"."&amp;YEAR(A25)</f>
        <v>Optimalizace - C&amp;S MONOLITIA s.r.o. - MOSAIQ Beroun - izolační nosníky - 16.3.2026</v>
      </c>
    </row>
    <row r="26" spans="1:8" s="14" customFormat="1">
      <c r="A26" s="17"/>
      <c r="B26" s="17"/>
      <c r="C26" s="15" t="s">
        <v>141</v>
      </c>
      <c r="D26" s="15" t="s">
        <v>1031</v>
      </c>
      <c r="E26" s="15" t="s">
        <v>911</v>
      </c>
      <c r="F26" s="15" t="s">
        <v>906</v>
      </c>
      <c r="G26" s="15"/>
      <c r="H26" s="15" t="str">
        <f>"Optimalizace - "&amp;C26&amp;" - "&amp;IF(E26=data!$E$2,"",D26&amp;" - ")&amp;F26&amp;" - "&amp;DAY(A26)&amp;"."&amp;MONTH(A26)&amp;"."&amp;YEAR(A26)</f>
        <v>Optimalizace - BETONSERVIS s.r.o. - BD Hořice - izolační nosníky - 0.1.1900</v>
      </c>
    </row>
    <row r="27" spans="1:8" s="14" customFormat="1">
      <c r="A27" s="17">
        <v>46091</v>
      </c>
      <c r="B27" s="17">
        <v>46092</v>
      </c>
      <c r="C27" s="15" t="s">
        <v>475</v>
      </c>
      <c r="D27" s="15" t="s">
        <v>930</v>
      </c>
      <c r="E27" s="15"/>
      <c r="F27" s="15"/>
      <c r="G27" s="15"/>
      <c r="H27" s="15" t="str">
        <f>"izolační nosníky - "&amp;C27&amp;" - "&amp;IF(E27=data!$E$2,"",D27&amp;" - ")&amp;F27&amp;DAY(A27)&amp;"."&amp;MONTH(A27)&amp;"."&amp;YEAR(A27)</f>
        <v>izolační nosníky - MAVI monolity s.r.o. - Papírna N1 - 10.3.2026</v>
      </c>
    </row>
    <row r="28" spans="1:8" s="14" customFormat="1">
      <c r="A28" s="17">
        <v>46091</v>
      </c>
      <c r="B28" s="17">
        <v>46092</v>
      </c>
      <c r="C28" s="15" t="s">
        <v>572</v>
      </c>
      <c r="D28" s="15" t="s">
        <v>1024</v>
      </c>
      <c r="E28" s="15"/>
      <c r="F28" s="15"/>
      <c r="G28" s="15"/>
      <c r="H28" s="15" t="str">
        <f>"Vibroizolace - "&amp;C28&amp;" - "&amp;IF(E28=data!$E$2,"",D28&amp;" - ")&amp;F28&amp;DAY(A28)&amp;"."&amp;MONTH(A28)&amp;"."&amp;YEAR(A28)</f>
        <v>Vibroizolace - PORR a.s. - Hodkovičky - 10.3.2026</v>
      </c>
    </row>
    <row r="29" spans="1:8" s="14" customFormat="1">
      <c r="A29" s="17">
        <v>46091</v>
      </c>
      <c r="B29" s="17">
        <v>46091</v>
      </c>
      <c r="C29" s="15" t="s">
        <v>578</v>
      </c>
      <c r="D29" s="15" t="s">
        <v>1016</v>
      </c>
      <c r="E29" s="15" t="s">
        <v>911</v>
      </c>
      <c r="F29" s="15"/>
      <c r="G29" s="15"/>
      <c r="H29" s="15" t="str">
        <f>"Brandenburger S4000 - "&amp;C29&amp;" - "&amp;IF(E29=data!$E$2,"",D29&amp;" - ")&amp;F29&amp;DAY(A29)&amp;"."&amp;MONTH(A29)&amp;"."&amp;YEAR(A29)</f>
        <v>Brandenburger S4000 - PRAGIS a.s. - DUO Living - 10.3.2026</v>
      </c>
    </row>
    <row r="30" spans="1:8" s="14" customFormat="1">
      <c r="A30" s="17">
        <v>46110</v>
      </c>
      <c r="B30" s="17">
        <v>46126</v>
      </c>
      <c r="C30" s="15" t="s">
        <v>475</v>
      </c>
      <c r="D30" s="15" t="s">
        <v>951</v>
      </c>
      <c r="E30" s="15"/>
      <c r="F30" s="15"/>
      <c r="G30" s="15"/>
      <c r="H30" s="15"/>
    </row>
    <row r="31" spans="1:8" s="14" customFormat="1">
      <c r="A31" s="17">
        <v>46087</v>
      </c>
      <c r="B31" s="17">
        <v>46087</v>
      </c>
      <c r="C31" s="15" t="s">
        <v>581</v>
      </c>
      <c r="D31" s="15"/>
      <c r="E31" s="15"/>
      <c r="F31" s="15"/>
      <c r="G31" s="15" t="s">
        <v>995</v>
      </c>
      <c r="H31" s="15" t="s">
        <v>994</v>
      </c>
    </row>
    <row r="32" spans="1:8" s="14" customFormat="1">
      <c r="A32" s="17">
        <v>46110</v>
      </c>
      <c r="B32" s="17"/>
      <c r="C32" s="15" t="s">
        <v>811</v>
      </c>
      <c r="D32" s="15" t="s">
        <v>4</v>
      </c>
      <c r="E32" s="15"/>
      <c r="F32" s="15"/>
      <c r="G32" s="15" t="s">
        <v>881</v>
      </c>
      <c r="H32" s="15"/>
    </row>
    <row r="33" spans="1:8" s="14" customFormat="1">
      <c r="A33" s="17">
        <v>46087</v>
      </c>
      <c r="B33" s="17">
        <v>46113</v>
      </c>
      <c r="C33" s="15" t="s">
        <v>559</v>
      </c>
      <c r="D33" s="15" t="s">
        <v>34</v>
      </c>
      <c r="E33" s="15" t="s">
        <v>911</v>
      </c>
      <c r="F33" s="15" t="s">
        <v>906</v>
      </c>
      <c r="G33" s="15"/>
      <c r="H33" s="15" t="str">
        <f>"Optimalizace - "&amp;C33&amp;" - "&amp;IF(E33=data!$E$2,"",D33&amp;" - ")&amp;F33&amp;" - "&amp;DAY(A33)&amp;"."&amp;MONTH(A33)&amp;"."&amp;YEAR(A33)</f>
        <v>Optimalizace - PHARMOS, a.s. - Apartmány Odra - izolační nosníky - 6.3.2026</v>
      </c>
    </row>
    <row r="34" spans="1:8" s="14" customFormat="1">
      <c r="A34" s="17">
        <v>46084</v>
      </c>
      <c r="B34" s="17"/>
      <c r="C34" s="15"/>
      <c r="D34" s="15" t="s">
        <v>968</v>
      </c>
      <c r="E34" s="15" t="s">
        <v>911</v>
      </c>
      <c r="F34" s="15"/>
      <c r="G34" s="15" t="s">
        <v>969</v>
      </c>
      <c r="H34" s="15" t="s">
        <v>970</v>
      </c>
    </row>
    <row r="35" spans="1:8" s="14" customFormat="1">
      <c r="A35" s="17">
        <v>46084</v>
      </c>
      <c r="B35" s="17">
        <v>46084</v>
      </c>
      <c r="C35" s="15" t="s">
        <v>375</v>
      </c>
      <c r="D35" s="15" t="s">
        <v>900</v>
      </c>
      <c r="E35" s="15" t="s">
        <v>911</v>
      </c>
      <c r="F35" s="15" t="s">
        <v>906</v>
      </c>
      <c r="G35" s="15"/>
      <c r="H35" s="15" t="str">
        <f>"Optimalizace - "&amp;C35&amp;" - "&amp;IF(E35=data!$E$2,"",D35&amp;" - ")&amp;F35&amp;" - "&amp;DAY(A35)&amp;"."&amp;MONTH(A35)&amp;"."&amp;YEAR(A35)</f>
        <v>Optimalizace - JAPS TEN s.r.o. - RD Vonoklasy - izolační nosníky - 3.3.2026</v>
      </c>
    </row>
    <row r="36" spans="1:8" s="14" customFormat="1">
      <c r="A36" s="17">
        <v>46083</v>
      </c>
      <c r="B36" s="17">
        <v>46089</v>
      </c>
      <c r="C36" s="15" t="s">
        <v>747</v>
      </c>
      <c r="D36" s="15" t="s">
        <v>952</v>
      </c>
      <c r="E36" s="15" t="s">
        <v>911</v>
      </c>
      <c r="F36" s="15" t="s">
        <v>959</v>
      </c>
      <c r="G36" s="15"/>
      <c r="H36" s="15" t="str">
        <f>"Kladecí schéma - "&amp;C36&amp;" - "&amp;IF(E36=data!$E$2,"",D36&amp;" - ")&amp;F36&amp;" - "&amp;DAY(A36)&amp;"."&amp;MONTH(A36)&amp;"."&amp;YEAR(A36)</f>
        <v>Kladecí schéma - STRABAG a.s. - Campus Česká Spořitelna - vibroizolace - 2.3.2026</v>
      </c>
    </row>
    <row r="37" spans="1:8" s="14" customFormat="1">
      <c r="A37" s="17">
        <v>46083</v>
      </c>
      <c r="B37" s="17">
        <v>46090</v>
      </c>
      <c r="C37" s="15" t="s">
        <v>572</v>
      </c>
      <c r="D37" s="15" t="s">
        <v>957</v>
      </c>
      <c r="E37" s="15" t="s">
        <v>911</v>
      </c>
      <c r="F37" s="15" t="s">
        <v>906</v>
      </c>
      <c r="G37" s="15"/>
      <c r="H37" s="15" t="str">
        <f>"Optimalizace - "&amp;C37&amp;" - "&amp;IF(E37=data!$E$2,"",D37&amp;" - ")&amp;F37&amp;" - "&amp;DAY(A37)&amp;"."&amp;MONTH(A37)&amp;"."&amp;YEAR(A37)</f>
        <v>Optimalizace - PORR a.s. - BD Záběhlická - izolační nosníky - 2.3.2026</v>
      </c>
    </row>
    <row r="38" spans="1:8" s="14" customFormat="1">
      <c r="A38" s="17">
        <v>46078</v>
      </c>
      <c r="B38" s="17">
        <v>46122</v>
      </c>
      <c r="C38" s="15" t="s">
        <v>250</v>
      </c>
      <c r="D38" s="15" t="s">
        <v>943</v>
      </c>
      <c r="E38" s="15" t="s">
        <v>911</v>
      </c>
      <c r="F38" s="15" t="s">
        <v>906</v>
      </c>
      <c r="G38" s="15"/>
      <c r="H38" s="15" t="str">
        <f>"Optimalizace - "&amp;C38&amp;" - "&amp;IF(E38=data!$E$2,"",D38&amp;" - ")&amp;F38&amp;" - "&amp;DAY(A38)&amp;"."&amp;MONTH(A38)&amp;"."&amp;YEAR(A38)</f>
        <v>Optimalizace - ELRAIL s.r.o. - BD Rokycany - izolační nosníky - 25.2.2026</v>
      </c>
    </row>
    <row r="39" spans="1:8" s="14" customFormat="1">
      <c r="A39" s="17"/>
      <c r="B39" s="17"/>
      <c r="C39" s="15"/>
      <c r="D39" s="15" t="s">
        <v>931</v>
      </c>
      <c r="E39" s="15"/>
      <c r="F39" s="15"/>
      <c r="G39" s="15"/>
      <c r="H39" s="15" t="str">
        <f>"Optimalizace - "&amp;C39&amp;" - "&amp;IF(E39=data!$E$2,"",D39&amp;" - ")&amp;F39&amp;" - "&amp;DAY(A39)&amp;"."&amp;MONTH(A39)&amp;"."&amp;YEAR(A39)</f>
        <v>Optimalizace -  - Medový újezd -  - 0.1.1900</v>
      </c>
    </row>
    <row r="40" spans="1:8" s="14" customFormat="1">
      <c r="A40" s="17">
        <v>46075</v>
      </c>
      <c r="B40" s="17"/>
      <c r="C40" s="15" t="s">
        <v>812</v>
      </c>
      <c r="D40" s="15" t="s">
        <v>916</v>
      </c>
      <c r="E40" s="15" t="s">
        <v>911</v>
      </c>
      <c r="F40" s="15" t="s">
        <v>906</v>
      </c>
      <c r="G40" s="15"/>
      <c r="H40" s="15" t="str">
        <f>"Optimalizace - "&amp;C40&amp;" - "&amp;IF(E40=data!$E$2,"",D40&amp;" - ")&amp;F40&amp;" - "&amp;DAY(A40)&amp;"."&amp;MONTH(A40)&amp;"."&amp;YEAR(A40)</f>
        <v>Optimalizace - VALME s.r.o. - OS Podlesí - izolační nosníky - 22.2.2026</v>
      </c>
    </row>
    <row r="41" spans="1:8" s="14" customFormat="1">
      <c r="A41" s="17">
        <v>46075</v>
      </c>
      <c r="B41" s="17"/>
      <c r="C41" s="15" t="s">
        <v>801</v>
      </c>
      <c r="D41" s="15" t="s">
        <v>917</v>
      </c>
      <c r="E41" s="15" t="s">
        <v>912</v>
      </c>
      <c r="F41" s="15"/>
      <c r="G41" s="15"/>
      <c r="H41" s="15" t="s">
        <v>918</v>
      </c>
    </row>
    <row r="42" spans="1:8" s="14" customFormat="1">
      <c r="A42" s="17"/>
      <c r="B42" s="17"/>
      <c r="C42" s="15" t="s">
        <v>269</v>
      </c>
      <c r="D42" s="15"/>
      <c r="E42" s="15"/>
      <c r="F42" s="15"/>
      <c r="G42" s="15"/>
      <c r="H42" s="15"/>
    </row>
    <row r="43" spans="1:8" s="14" customFormat="1">
      <c r="A43" s="17"/>
      <c r="B43" s="17"/>
      <c r="C43" s="15"/>
      <c r="D43" s="15"/>
      <c r="E43" s="15"/>
      <c r="F43" s="15"/>
      <c r="G43" s="15"/>
      <c r="H43" s="15"/>
    </row>
    <row r="44" spans="1:8" s="14" customFormat="1">
      <c r="A44" s="17"/>
      <c r="B44" s="17"/>
      <c r="C44" s="15"/>
      <c r="D44" s="15"/>
      <c r="E44" s="15"/>
      <c r="F44" s="15"/>
      <c r="G44" s="15"/>
      <c r="H44" s="15"/>
    </row>
    <row r="45" spans="1:8" s="14" customFormat="1">
      <c r="A45" s="17"/>
      <c r="B45" s="17"/>
      <c r="C45" s="15"/>
      <c r="D45" s="15"/>
      <c r="E45" s="15"/>
      <c r="F45" s="15"/>
      <c r="G45" s="15"/>
      <c r="H45" s="15"/>
    </row>
    <row r="46" spans="1:8" s="14" customFormat="1">
      <c r="A46" s="17"/>
      <c r="B46" s="17"/>
      <c r="C46" s="15"/>
      <c r="D46" s="15"/>
      <c r="E46" s="15"/>
      <c r="F46" s="15"/>
      <c r="G46" s="15"/>
      <c r="H46" s="15"/>
    </row>
    <row r="47" spans="1:8" s="14" customFormat="1">
      <c r="A47" s="17"/>
      <c r="B47" s="17"/>
      <c r="C47" s="15"/>
      <c r="D47" s="15"/>
      <c r="E47" s="15"/>
      <c r="F47" s="15"/>
      <c r="G47" s="15"/>
      <c r="H47" s="15"/>
    </row>
    <row r="48" spans="1:8" s="14" customFormat="1">
      <c r="A48" s="17"/>
      <c r="B48" s="17"/>
      <c r="C48" s="15"/>
      <c r="D48" s="15"/>
      <c r="E48" s="15"/>
      <c r="F48" s="15"/>
      <c r="G48" s="15"/>
      <c r="H48" s="15"/>
    </row>
    <row r="49" spans="1:8" s="14" customFormat="1">
      <c r="A49" s="17"/>
      <c r="B49" s="17"/>
      <c r="C49" s="15"/>
      <c r="D49" s="15"/>
      <c r="E49" s="15"/>
      <c r="F49" s="15"/>
      <c r="G49" s="15"/>
      <c r="H49" s="15"/>
    </row>
    <row r="50" spans="1:8" s="14" customFormat="1">
      <c r="A50" s="17"/>
      <c r="B50" s="17"/>
      <c r="C50" s="15"/>
      <c r="D50" s="15"/>
      <c r="E50" s="15"/>
      <c r="F50" s="15"/>
      <c r="G50" s="15"/>
      <c r="H50" s="15"/>
    </row>
    <row r="51" spans="1:8" s="14" customFormat="1">
      <c r="A51" s="17"/>
      <c r="B51" s="17"/>
      <c r="C51" s="15"/>
      <c r="D51" s="15"/>
      <c r="E51" s="15"/>
      <c r="F51" s="15"/>
      <c r="G51" s="15"/>
      <c r="H51" s="15"/>
    </row>
    <row r="52" spans="1:8" s="14" customFormat="1">
      <c r="A52" s="17"/>
      <c r="B52" s="17"/>
      <c r="C52" s="15"/>
      <c r="D52" s="15"/>
      <c r="E52" s="15"/>
      <c r="F52" s="15"/>
      <c r="G52" s="15"/>
      <c r="H52" s="15"/>
    </row>
    <row r="53" spans="1:8" s="14" customFormat="1">
      <c r="A53" s="17"/>
      <c r="B53" s="17"/>
      <c r="C53" s="15"/>
      <c r="D53" s="15"/>
      <c r="E53" s="15"/>
      <c r="F53" s="15"/>
      <c r="G53" s="15"/>
      <c r="H53" s="15"/>
    </row>
    <row r="54" spans="1:8" s="14" customFormat="1">
      <c r="A54" s="17"/>
      <c r="B54" s="17"/>
      <c r="C54" s="15"/>
      <c r="D54" s="15"/>
      <c r="E54" s="15"/>
      <c r="F54" s="15"/>
      <c r="G54" s="15"/>
      <c r="H54" s="15"/>
    </row>
    <row r="55" spans="1:8" s="14" customFormat="1">
      <c r="A55" s="17"/>
      <c r="B55" s="17"/>
      <c r="C55" s="15"/>
      <c r="D55" s="15"/>
      <c r="E55" s="15"/>
      <c r="F55" s="15"/>
      <c r="G55" s="15"/>
      <c r="H55" s="15"/>
    </row>
    <row r="56" spans="1:8" s="14" customFormat="1">
      <c r="A56" s="17"/>
      <c r="B56" s="17"/>
      <c r="C56" s="15"/>
      <c r="D56" s="15"/>
      <c r="E56" s="15"/>
      <c r="F56" s="15"/>
      <c r="G56" s="15"/>
      <c r="H56" s="15"/>
    </row>
    <row r="57" spans="1:8" s="14" customFormat="1">
      <c r="A57" s="17"/>
      <c r="B57" s="17"/>
      <c r="C57" s="15"/>
      <c r="D57" s="15"/>
      <c r="E57" s="15"/>
      <c r="F57" s="15"/>
      <c r="G57" s="15"/>
      <c r="H57" s="15"/>
    </row>
    <row r="58" spans="1:8" s="14" customFormat="1">
      <c r="A58" s="17"/>
      <c r="B58" s="17"/>
      <c r="C58" s="15"/>
      <c r="D58" s="15"/>
      <c r="E58" s="15"/>
      <c r="F58" s="15"/>
      <c r="G58" s="15"/>
      <c r="H58" s="15"/>
    </row>
  </sheetData>
  <conditionalFormatting sqref="A1:A1048576">
    <cfRule type="expression" dxfId="2" priority="2">
      <formula>AND(TODAY()-$A1&gt;5,ISNUMBER($A1))</formula>
    </cfRule>
    <cfRule type="expression" dxfId="1" priority="3">
      <formula>AND(TODAY()-$A1&gt;3,ISNUMBER($A1))</formula>
    </cfRule>
  </conditionalFormatting>
  <conditionalFormatting sqref="A1:G1048576">
    <cfRule type="expression" dxfId="0" priority="10">
      <formula>ISNUMBER($B1)</formula>
    </cfRule>
  </conditionalFormatting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271C012-D33F-487E-BB32-CF90C6AE464F}">
          <x14:formula1>
            <xm:f>data!$E$1:$E$2</xm:f>
          </x14:formula1>
          <xm:sqref>E2:E64</xm:sqref>
        </x14:dataValidation>
        <x14:dataValidation type="list" allowBlank="1" showInputMessage="1" showErrorMessage="1" xr:uid="{1C13943E-694F-4D07-8FB2-4D9D82A08670}">
          <x14:formula1>
            <xm:f>Akce!$A:$A</xm:f>
          </x14:formula1>
          <xm:sqref>D2:D64</xm:sqref>
        </x14:dataValidation>
        <x14:dataValidation type="list" allowBlank="1" showInputMessage="1" showErrorMessage="1" xr:uid="{C8BE4A18-D8B4-4B9E-9C57-DC5011A6D4FA}">
          <x14:formula1>
            <xm:f>data!$F:$F</xm:f>
          </x14:formula1>
          <xm:sqref>F2:F64</xm:sqref>
        </x14:dataValidation>
        <x14:dataValidation type="list" allowBlank="1" showInputMessage="1" showErrorMessage="1" xr:uid="{FBB21F8C-2E06-4DF9-A5BD-78AB38D646B4}">
          <x14:formula1>
            <xm:f>data!$A:$A</xm:f>
          </x14:formula1>
          <xm:sqref>C2:C64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4CDA3-190A-4E63-8A1B-1D0E45255FF2}">
  <sheetPr codeName="List4"/>
  <dimension ref="A9:A297"/>
  <sheetViews>
    <sheetView topLeftCell="A269" workbookViewId="0">
      <selection activeCell="A297" sqref="A297"/>
    </sheetView>
  </sheetViews>
  <sheetFormatPr defaultRowHeight="15"/>
  <cols>
    <col min="1" max="1" width="34" bestFit="1" customWidth="1"/>
  </cols>
  <sheetData>
    <row r="9" spans="1:1">
      <c r="A9" t="s">
        <v>899</v>
      </c>
    </row>
    <row r="10" spans="1:1">
      <c r="A10" t="s">
        <v>34</v>
      </c>
    </row>
    <row r="11" spans="1:1">
      <c r="A11" t="s">
        <v>52</v>
      </c>
    </row>
    <row r="12" spans="1:1">
      <c r="A12" t="s">
        <v>13</v>
      </c>
    </row>
    <row r="13" spans="1:1">
      <c r="A13" t="s">
        <v>9</v>
      </c>
    </row>
    <row r="14" spans="1:1">
      <c r="A14" t="s">
        <v>45</v>
      </c>
    </row>
    <row r="15" spans="1:1">
      <c r="A15" t="s">
        <v>54</v>
      </c>
    </row>
    <row r="16" spans="1:1">
      <c r="A16" t="s">
        <v>54</v>
      </c>
    </row>
    <row r="17" spans="1:1">
      <c r="A17" t="s">
        <v>894</v>
      </c>
    </row>
    <row r="18" spans="1:1">
      <c r="A18" t="s">
        <v>14</v>
      </c>
    </row>
    <row r="19" spans="1:1">
      <c r="A19" t="s">
        <v>56</v>
      </c>
    </row>
    <row r="20" spans="1:1">
      <c r="A20" t="s">
        <v>30</v>
      </c>
    </row>
    <row r="21" spans="1:1">
      <c r="A21" t="s">
        <v>7</v>
      </c>
    </row>
    <row r="22" spans="1:1">
      <c r="A22" t="s">
        <v>1</v>
      </c>
    </row>
    <row r="23" spans="1:1">
      <c r="A23" t="s">
        <v>19</v>
      </c>
    </row>
    <row r="24" spans="1:1">
      <c r="A24" t="s">
        <v>42</v>
      </c>
    </row>
    <row r="25" spans="1:1">
      <c r="A25" t="s">
        <v>16</v>
      </c>
    </row>
    <row r="26" spans="1:1">
      <c r="A26" t="s">
        <v>65</v>
      </c>
    </row>
    <row r="27" spans="1:1">
      <c r="A27" t="s">
        <v>18</v>
      </c>
    </row>
    <row r="28" spans="1:1">
      <c r="A28" t="s">
        <v>61</v>
      </c>
    </row>
    <row r="29" spans="1:1">
      <c r="A29" t="s">
        <v>897</v>
      </c>
    </row>
    <row r="30" spans="1:1">
      <c r="A30" t="s">
        <v>6</v>
      </c>
    </row>
    <row r="31" spans="1:1">
      <c r="A31" t="s">
        <v>62</v>
      </c>
    </row>
    <row r="32" spans="1:1">
      <c r="A32" t="s">
        <v>3</v>
      </c>
    </row>
    <row r="33" spans="1:1">
      <c r="A33" t="s">
        <v>28</v>
      </c>
    </row>
    <row r="34" spans="1:1">
      <c r="A34" t="s">
        <v>37</v>
      </c>
    </row>
    <row r="35" spans="1:1">
      <c r="A35" t="s">
        <v>902</v>
      </c>
    </row>
    <row r="36" spans="1:1">
      <c r="A36" t="s">
        <v>35</v>
      </c>
    </row>
    <row r="37" spans="1:1">
      <c r="A37" t="s">
        <v>24</v>
      </c>
    </row>
    <row r="38" spans="1:1">
      <c r="A38" t="s">
        <v>57</v>
      </c>
    </row>
    <row r="39" spans="1:1">
      <c r="A39" t="s">
        <v>29</v>
      </c>
    </row>
    <row r="40" spans="1:1">
      <c r="A40" t="s">
        <v>4</v>
      </c>
    </row>
    <row r="41" spans="1:1">
      <c r="A41" t="s">
        <v>60</v>
      </c>
    </row>
    <row r="42" spans="1:1">
      <c r="A42" t="s">
        <v>48</v>
      </c>
    </row>
    <row r="43" spans="1:1">
      <c r="A43" t="s">
        <v>49</v>
      </c>
    </row>
    <row r="44" spans="1:1">
      <c r="A44" t="s">
        <v>41</v>
      </c>
    </row>
    <row r="45" spans="1:1">
      <c r="A45" t="s">
        <v>47</v>
      </c>
    </row>
    <row r="46" spans="1:1">
      <c r="A46" t="s">
        <v>900</v>
      </c>
    </row>
    <row r="47" spans="1:1">
      <c r="A47" t="s">
        <v>22</v>
      </c>
    </row>
    <row r="48" spans="1:1">
      <c r="A48" t="s">
        <v>15</v>
      </c>
    </row>
    <row r="49" spans="1:1">
      <c r="A49" t="s">
        <v>20</v>
      </c>
    </row>
    <row r="50" spans="1:1">
      <c r="A50" t="s">
        <v>921</v>
      </c>
    </row>
    <row r="51" spans="1:1">
      <c r="A51" t="s">
        <v>21</v>
      </c>
    </row>
    <row r="52" spans="1:1">
      <c r="A52" t="s">
        <v>916</v>
      </c>
    </row>
    <row r="53" spans="1:1">
      <c r="A53" t="s">
        <v>917</v>
      </c>
    </row>
    <row r="54" spans="1:1">
      <c r="A54" t="s">
        <v>919</v>
      </c>
    </row>
    <row r="55" spans="1:1">
      <c r="A55" t="s">
        <v>923</v>
      </c>
    </row>
    <row r="56" spans="1:1">
      <c r="A56" t="s">
        <v>926</v>
      </c>
    </row>
    <row r="57" spans="1:1">
      <c r="A57" t="s">
        <v>930</v>
      </c>
    </row>
    <row r="58" spans="1:1">
      <c r="A58" t="s">
        <v>931</v>
      </c>
    </row>
    <row r="59" spans="1:1">
      <c r="A59" t="s">
        <v>937</v>
      </c>
    </row>
    <row r="60" spans="1:1">
      <c r="A60" t="s">
        <v>938</v>
      </c>
    </row>
    <row r="61" spans="1:1">
      <c r="A61" t="s">
        <v>943</v>
      </c>
    </row>
    <row r="62" spans="1:1">
      <c r="A62" t="s">
        <v>946</v>
      </c>
    </row>
    <row r="63" spans="1:1">
      <c r="A63" t="s">
        <v>951</v>
      </c>
    </row>
    <row r="64" spans="1:1">
      <c r="A64" t="s">
        <v>952</v>
      </c>
    </row>
    <row r="65" spans="1:1">
      <c r="A65" t="s">
        <v>953</v>
      </c>
    </row>
    <row r="66" spans="1:1">
      <c r="A66" t="s">
        <v>955</v>
      </c>
    </row>
    <row r="67" spans="1:1">
      <c r="A67" t="s">
        <v>957</v>
      </c>
    </row>
    <row r="68" spans="1:1">
      <c r="A68" t="s">
        <v>1031</v>
      </c>
    </row>
    <row r="69" spans="1:1">
      <c r="A69" t="s">
        <v>960</v>
      </c>
    </row>
    <row r="70" spans="1:1">
      <c r="A70" t="s">
        <v>964</v>
      </c>
    </row>
    <row r="71" spans="1:1">
      <c r="A71" t="s">
        <v>968</v>
      </c>
    </row>
    <row r="72" spans="1:1">
      <c r="A72" t="s">
        <v>974</v>
      </c>
    </row>
    <row r="73" spans="1:1">
      <c r="A73" t="s">
        <v>977</v>
      </c>
    </row>
    <row r="74" spans="1:1">
      <c r="A74" t="s">
        <v>980</v>
      </c>
    </row>
    <row r="75" spans="1:1">
      <c r="A75" t="s">
        <v>982</v>
      </c>
    </row>
    <row r="76" spans="1:1">
      <c r="A76" t="s">
        <v>984</v>
      </c>
    </row>
    <row r="77" spans="1:1">
      <c r="A77" t="s">
        <v>992</v>
      </c>
    </row>
    <row r="78" spans="1:1">
      <c r="A78" t="s">
        <v>993</v>
      </c>
    </row>
    <row r="79" spans="1:1">
      <c r="A79" t="s">
        <v>1000</v>
      </c>
    </row>
    <row r="80" spans="1:1">
      <c r="A80" t="s">
        <v>1003</v>
      </c>
    </row>
    <row r="81" spans="1:1">
      <c r="A81" t="s">
        <v>1004</v>
      </c>
    </row>
    <row r="82" spans="1:1">
      <c r="A82" t="s">
        <v>1006</v>
      </c>
    </row>
    <row r="83" spans="1:1">
      <c r="A83" t="s">
        <v>1008</v>
      </c>
    </row>
    <row r="84" spans="1:1">
      <c r="A84" t="s">
        <v>1010</v>
      </c>
    </row>
    <row r="85" spans="1:1">
      <c r="A85" t="s">
        <v>1011</v>
      </c>
    </row>
    <row r="86" spans="1:1">
      <c r="A86" t="s">
        <v>1012</v>
      </c>
    </row>
    <row r="87" spans="1:1">
      <c r="A87" t="s">
        <v>1013</v>
      </c>
    </row>
    <row r="88" spans="1:1">
      <c r="A88" t="s">
        <v>1016</v>
      </c>
    </row>
    <row r="89" spans="1:1">
      <c r="A89" t="s">
        <v>1018</v>
      </c>
    </row>
    <row r="90" spans="1:1">
      <c r="A90" t="s">
        <v>1024</v>
      </c>
    </row>
    <row r="91" spans="1:1">
      <c r="A91" t="s">
        <v>1028</v>
      </c>
    </row>
    <row r="92" spans="1:1">
      <c r="A92" t="s">
        <v>1029</v>
      </c>
    </row>
    <row r="93" spans="1:1">
      <c r="A93" t="s">
        <v>1030</v>
      </c>
    </row>
    <row r="94" spans="1:1">
      <c r="A94" t="s">
        <v>1037</v>
      </c>
    </row>
    <row r="95" spans="1:1">
      <c r="A95" t="s">
        <v>1040</v>
      </c>
    </row>
    <row r="96" spans="1:1">
      <c r="A96" t="s">
        <v>1041</v>
      </c>
    </row>
    <row r="97" spans="1:1">
      <c r="A97" t="s">
        <v>1042</v>
      </c>
    </row>
    <row r="98" spans="1:1">
      <c r="A98" t="s">
        <v>1044</v>
      </c>
    </row>
    <row r="99" spans="1:1">
      <c r="A99" t="s">
        <v>1045</v>
      </c>
    </row>
    <row r="100" spans="1:1">
      <c r="A100" t="s">
        <v>1047</v>
      </c>
    </row>
    <row r="101" spans="1:1">
      <c r="A101" t="s">
        <v>1049</v>
      </c>
    </row>
    <row r="102" spans="1:1">
      <c r="A102" t="s">
        <v>1052</v>
      </c>
    </row>
    <row r="103" spans="1:1">
      <c r="A103" t="s">
        <v>1064</v>
      </c>
    </row>
    <row r="104" spans="1:1">
      <c r="A104" t="s">
        <v>1069</v>
      </c>
    </row>
    <row r="105" spans="1:1">
      <c r="A105" t="s">
        <v>1071</v>
      </c>
    </row>
    <row r="106" spans="1:1">
      <c r="A106" t="s">
        <v>1073</v>
      </c>
    </row>
    <row r="107" spans="1:1">
      <c r="A107" t="s">
        <v>1077</v>
      </c>
    </row>
    <row r="108" spans="1:1">
      <c r="A108" t="s">
        <v>1078</v>
      </c>
    </row>
    <row r="109" spans="1:1">
      <c r="A109" t="s">
        <v>1082</v>
      </c>
    </row>
    <row r="110" spans="1:1">
      <c r="A110" t="s">
        <v>1084</v>
      </c>
    </row>
    <row r="111" spans="1:1">
      <c r="A111" t="s">
        <v>1087</v>
      </c>
    </row>
    <row r="112" spans="1:1">
      <c r="A112" t="s">
        <v>1088</v>
      </c>
    </row>
    <row r="113" spans="1:1">
      <c r="A113" t="s">
        <v>1089</v>
      </c>
    </row>
    <row r="114" spans="1:1">
      <c r="A114" t="s">
        <v>1091</v>
      </c>
    </row>
    <row r="115" spans="1:1">
      <c r="A115" t="s">
        <v>1092</v>
      </c>
    </row>
    <row r="116" spans="1:1">
      <c r="A116" t="s">
        <v>1093</v>
      </c>
    </row>
    <row r="117" spans="1:1">
      <c r="A117" t="s">
        <v>1095</v>
      </c>
    </row>
    <row r="118" spans="1:1">
      <c r="A118" t="s">
        <v>1099</v>
      </c>
    </row>
    <row r="119" spans="1:1">
      <c r="A119" t="s">
        <v>1100</v>
      </c>
    </row>
    <row r="120" spans="1:1">
      <c r="A120" t="s">
        <v>1104</v>
      </c>
    </row>
    <row r="121" spans="1:1">
      <c r="A121" t="s">
        <v>1108</v>
      </c>
    </row>
    <row r="122" spans="1:1">
      <c r="A122" t="s">
        <v>1109</v>
      </c>
    </row>
    <row r="123" spans="1:1">
      <c r="A123" t="s">
        <v>1111</v>
      </c>
    </row>
    <row r="124" spans="1:1">
      <c r="A124" t="s">
        <v>1113</v>
      </c>
    </row>
    <row r="125" spans="1:1">
      <c r="A125" t="s">
        <v>1115</v>
      </c>
    </row>
    <row r="126" spans="1:1">
      <c r="A126" t="s">
        <v>1116</v>
      </c>
    </row>
    <row r="127" spans="1:1">
      <c r="A127" t="s">
        <v>1117</v>
      </c>
    </row>
    <row r="128" spans="1:1">
      <c r="A128" t="s">
        <v>1119</v>
      </c>
    </row>
    <row r="129" spans="1:1">
      <c r="A129" t="s">
        <v>1121</v>
      </c>
    </row>
    <row r="130" spans="1:1">
      <c r="A130" t="s">
        <v>1123</v>
      </c>
    </row>
    <row r="131" spans="1:1">
      <c r="A131" t="s">
        <v>1124</v>
      </c>
    </row>
    <row r="132" spans="1:1">
      <c r="A132" t="s">
        <v>1127</v>
      </c>
    </row>
    <row r="133" spans="1:1">
      <c r="A133" t="s">
        <v>1129</v>
      </c>
    </row>
    <row r="134" spans="1:1">
      <c r="A134" t="s">
        <v>1132</v>
      </c>
    </row>
    <row r="135" spans="1:1">
      <c r="A135" t="s">
        <v>1133</v>
      </c>
    </row>
    <row r="136" spans="1:1">
      <c r="A136" t="s">
        <v>1135</v>
      </c>
    </row>
    <row r="137" spans="1:1">
      <c r="A137" t="s">
        <v>1138</v>
      </c>
    </row>
    <row r="138" spans="1:1">
      <c r="A138" t="s">
        <v>1139</v>
      </c>
    </row>
    <row r="139" spans="1:1">
      <c r="A139" t="s">
        <v>1140</v>
      </c>
    </row>
    <row r="140" spans="1:1">
      <c r="A140" t="s">
        <v>1141</v>
      </c>
    </row>
    <row r="141" spans="1:1">
      <c r="A141" t="s">
        <v>1143</v>
      </c>
    </row>
    <row r="142" spans="1:1">
      <c r="A142" t="s">
        <v>1145</v>
      </c>
    </row>
    <row r="143" spans="1:1">
      <c r="A143" t="s">
        <v>1146</v>
      </c>
    </row>
    <row r="144" spans="1:1">
      <c r="A144" t="s">
        <v>1147</v>
      </c>
    </row>
    <row r="145" spans="1:1">
      <c r="A145" t="s">
        <v>1148</v>
      </c>
    </row>
    <row r="146" spans="1:1">
      <c r="A146" t="s">
        <v>1150</v>
      </c>
    </row>
    <row r="147" spans="1:1">
      <c r="A147" t="s">
        <v>1151</v>
      </c>
    </row>
    <row r="148" spans="1:1">
      <c r="A148" t="s">
        <v>1155</v>
      </c>
    </row>
    <row r="149" spans="1:1">
      <c r="A149" t="s">
        <v>1159</v>
      </c>
    </row>
    <row r="150" spans="1:1">
      <c r="A150" t="s">
        <v>1160</v>
      </c>
    </row>
    <row r="151" spans="1:1">
      <c r="A151" t="s">
        <v>1161</v>
      </c>
    </row>
    <row r="152" spans="1:1">
      <c r="A152" t="s">
        <v>1164</v>
      </c>
    </row>
    <row r="153" spans="1:1">
      <c r="A153" t="s">
        <v>1165</v>
      </c>
    </row>
    <row r="154" spans="1:1">
      <c r="A154" t="s">
        <v>1168</v>
      </c>
    </row>
    <row r="155" spans="1:1">
      <c r="A155" t="s">
        <v>1171</v>
      </c>
    </row>
    <row r="156" spans="1:1">
      <c r="A156" t="s">
        <v>1172</v>
      </c>
    </row>
    <row r="157" spans="1:1">
      <c r="A157" t="s">
        <v>1173</v>
      </c>
    </row>
    <row r="158" spans="1:1">
      <c r="A158" t="s">
        <v>1174</v>
      </c>
    </row>
    <row r="159" spans="1:1">
      <c r="A159" t="s">
        <v>1178</v>
      </c>
    </row>
    <row r="160" spans="1:1">
      <c r="A160" t="s">
        <v>1179</v>
      </c>
    </row>
    <row r="161" spans="1:1">
      <c r="A161" t="s">
        <v>1180</v>
      </c>
    </row>
    <row r="162" spans="1:1">
      <c r="A162" t="s">
        <v>1184</v>
      </c>
    </row>
    <row r="163" spans="1:1">
      <c r="A163" t="s">
        <v>1185</v>
      </c>
    </row>
    <row r="164" spans="1:1">
      <c r="A164" t="s">
        <v>1186</v>
      </c>
    </row>
    <row r="165" spans="1:1">
      <c r="A165" t="s">
        <v>1188</v>
      </c>
    </row>
    <row r="166" spans="1:1">
      <c r="A166" t="s">
        <v>1191</v>
      </c>
    </row>
    <row r="167" spans="1:1">
      <c r="A167" t="s">
        <v>1192</v>
      </c>
    </row>
    <row r="168" spans="1:1">
      <c r="A168" t="s">
        <v>1193</v>
      </c>
    </row>
    <row r="169" spans="1:1">
      <c r="A169" t="s">
        <v>1194</v>
      </c>
    </row>
    <row r="170" spans="1:1">
      <c r="A170" t="s">
        <v>1195</v>
      </c>
    </row>
    <row r="171" spans="1:1">
      <c r="A171" t="s">
        <v>1196</v>
      </c>
    </row>
    <row r="172" spans="1:1">
      <c r="A172" t="s">
        <v>1198</v>
      </c>
    </row>
    <row r="173" spans="1:1">
      <c r="A173" t="s">
        <v>1199</v>
      </c>
    </row>
    <row r="174" spans="1:1">
      <c r="A174" t="s">
        <v>1203</v>
      </c>
    </row>
    <row r="175" spans="1:1">
      <c r="A175" t="s">
        <v>1204</v>
      </c>
    </row>
    <row r="176" spans="1:1">
      <c r="A176" t="s">
        <v>1205</v>
      </c>
    </row>
    <row r="177" spans="1:1">
      <c r="A177" t="s">
        <v>1206</v>
      </c>
    </row>
    <row r="178" spans="1:1">
      <c r="A178" t="s">
        <v>1207</v>
      </c>
    </row>
    <row r="179" spans="1:1">
      <c r="A179" t="s">
        <v>1208</v>
      </c>
    </row>
    <row r="180" spans="1:1">
      <c r="A180" t="s">
        <v>1210</v>
      </c>
    </row>
    <row r="181" spans="1:1">
      <c r="A181" t="s">
        <v>1213</v>
      </c>
    </row>
    <row r="182" spans="1:1">
      <c r="A182" t="s">
        <v>1214</v>
      </c>
    </row>
    <row r="183" spans="1:1">
      <c r="A183" t="s">
        <v>1217</v>
      </c>
    </row>
    <row r="184" spans="1:1">
      <c r="A184" t="s">
        <v>1218</v>
      </c>
    </row>
    <row r="185" spans="1:1">
      <c r="A185" t="s">
        <v>1220</v>
      </c>
    </row>
    <row r="186" spans="1:1">
      <c r="A186" t="s">
        <v>1221</v>
      </c>
    </row>
    <row r="187" spans="1:1">
      <c r="A187" t="s">
        <v>1222</v>
      </c>
    </row>
    <row r="188" spans="1:1">
      <c r="A188" t="s">
        <v>1223</v>
      </c>
    </row>
    <row r="189" spans="1:1">
      <c r="A189" t="s">
        <v>1225</v>
      </c>
    </row>
    <row r="190" spans="1:1">
      <c r="A190" t="s">
        <v>1227</v>
      </c>
    </row>
    <row r="191" spans="1:1">
      <c r="A191" t="s">
        <v>1230</v>
      </c>
    </row>
    <row r="192" spans="1:1">
      <c r="A192" t="s">
        <v>1232</v>
      </c>
    </row>
    <row r="193" spans="1:1">
      <c r="A193" t="s">
        <v>1231</v>
      </c>
    </row>
    <row r="194" spans="1:1">
      <c r="A194" t="s">
        <v>1235</v>
      </c>
    </row>
    <row r="195" spans="1:1">
      <c r="A195" t="s">
        <v>1236</v>
      </c>
    </row>
    <row r="196" spans="1:1">
      <c r="A196" t="s">
        <v>1237</v>
      </c>
    </row>
    <row r="197" spans="1:1">
      <c r="A197" t="s">
        <v>1238</v>
      </c>
    </row>
    <row r="198" spans="1:1">
      <c r="A198" t="s">
        <v>1239</v>
      </c>
    </row>
    <row r="199" spans="1:1">
      <c r="A199" t="s">
        <v>1243</v>
      </c>
    </row>
    <row r="200" spans="1:1">
      <c r="A200" t="s">
        <v>1244</v>
      </c>
    </row>
    <row r="201" spans="1:1">
      <c r="A201" t="s">
        <v>1246</v>
      </c>
    </row>
    <row r="202" spans="1:1">
      <c r="A202" t="s">
        <v>1248</v>
      </c>
    </row>
    <row r="203" spans="1:1">
      <c r="A203" t="s">
        <v>1249</v>
      </c>
    </row>
    <row r="204" spans="1:1">
      <c r="A204" t="s">
        <v>1250</v>
      </c>
    </row>
    <row r="205" spans="1:1">
      <c r="A205" t="s">
        <v>1251</v>
      </c>
    </row>
    <row r="206" spans="1:1">
      <c r="A206" t="s">
        <v>1253</v>
      </c>
    </row>
    <row r="207" spans="1:1">
      <c r="A207" t="s">
        <v>1254</v>
      </c>
    </row>
    <row r="208" spans="1:1">
      <c r="A208" t="s">
        <v>1255</v>
      </c>
    </row>
    <row r="209" spans="1:1">
      <c r="A209" t="s">
        <v>1258</v>
      </c>
    </row>
    <row r="210" spans="1:1">
      <c r="A210" t="s">
        <v>1261</v>
      </c>
    </row>
    <row r="211" spans="1:1">
      <c r="A211" t="s">
        <v>1262</v>
      </c>
    </row>
    <row r="212" spans="1:1">
      <c r="A212" t="s">
        <v>1263</v>
      </c>
    </row>
    <row r="213" spans="1:1">
      <c r="A213" t="s">
        <v>1265</v>
      </c>
    </row>
    <row r="214" spans="1:1">
      <c r="A214" t="s">
        <v>1266</v>
      </c>
    </row>
    <row r="215" spans="1:1">
      <c r="A215" t="s">
        <v>1272</v>
      </c>
    </row>
    <row r="216" spans="1:1">
      <c r="A216" t="s">
        <v>1273</v>
      </c>
    </row>
    <row r="217" spans="1:1">
      <c r="A217" t="s">
        <v>1274</v>
      </c>
    </row>
    <row r="218" spans="1:1">
      <c r="A218" t="s">
        <v>1276</v>
      </c>
    </row>
    <row r="219" spans="1:1">
      <c r="A219" t="s">
        <v>1286</v>
      </c>
    </row>
    <row r="220" spans="1:1">
      <c r="A220" t="s">
        <v>1279</v>
      </c>
    </row>
    <row r="221" spans="1:1">
      <c r="A221" t="s">
        <v>1280</v>
      </c>
    </row>
    <row r="222" spans="1:1">
      <c r="A222" t="s">
        <v>1288</v>
      </c>
    </row>
    <row r="223" spans="1:1">
      <c r="A223" t="s">
        <v>1289</v>
      </c>
    </row>
    <row r="224" spans="1:1">
      <c r="A224" t="s">
        <v>1290</v>
      </c>
    </row>
    <row r="225" spans="1:1">
      <c r="A225" t="s">
        <v>1296</v>
      </c>
    </row>
    <row r="226" spans="1:1">
      <c r="A226" t="s">
        <v>1297</v>
      </c>
    </row>
    <row r="227" spans="1:1">
      <c r="A227" t="s">
        <v>1300</v>
      </c>
    </row>
    <row r="228" spans="1:1">
      <c r="A228" t="s">
        <v>1301</v>
      </c>
    </row>
    <row r="229" spans="1:1">
      <c r="A229" t="s">
        <v>1304</v>
      </c>
    </row>
    <row r="230" spans="1:1">
      <c r="A230" t="s">
        <v>1306</v>
      </c>
    </row>
    <row r="231" spans="1:1">
      <c r="A231" t="s">
        <v>1309</v>
      </c>
    </row>
    <row r="232" spans="1:1">
      <c r="A232" t="s">
        <v>1310</v>
      </c>
    </row>
    <row r="233" spans="1:1">
      <c r="A233" t="s">
        <v>1311</v>
      </c>
    </row>
    <row r="234" spans="1:1">
      <c r="A234" t="s">
        <v>1312</v>
      </c>
    </row>
    <row r="235" spans="1:1">
      <c r="A235" t="s">
        <v>1314</v>
      </c>
    </row>
    <row r="236" spans="1:1">
      <c r="A236" t="s">
        <v>1315</v>
      </c>
    </row>
    <row r="237" spans="1:1">
      <c r="A237" t="s">
        <v>1316</v>
      </c>
    </row>
    <row r="238" spans="1:1">
      <c r="A238" t="s">
        <v>1317</v>
      </c>
    </row>
    <row r="239" spans="1:1">
      <c r="A239" t="s">
        <v>1318</v>
      </c>
    </row>
    <row r="240" spans="1:1">
      <c r="A240" t="s">
        <v>1322</v>
      </c>
    </row>
    <row r="241" spans="1:1">
      <c r="A241" t="s">
        <v>1323</v>
      </c>
    </row>
    <row r="242" spans="1:1">
      <c r="A242" t="s">
        <v>1324</v>
      </c>
    </row>
    <row r="243" spans="1:1">
      <c r="A243" t="s">
        <v>1328</v>
      </c>
    </row>
    <row r="244" spans="1:1">
      <c r="A244" t="s">
        <v>1330</v>
      </c>
    </row>
    <row r="245" spans="1:1">
      <c r="A245" t="s">
        <v>1334</v>
      </c>
    </row>
    <row r="246" spans="1:1">
      <c r="A246" t="s">
        <v>1335</v>
      </c>
    </row>
    <row r="247" spans="1:1">
      <c r="A247" t="s">
        <v>1336</v>
      </c>
    </row>
    <row r="248" spans="1:1">
      <c r="A248" t="s">
        <v>1338</v>
      </c>
    </row>
    <row r="249" spans="1:1">
      <c r="A249" t="s">
        <v>1343</v>
      </c>
    </row>
    <row r="250" spans="1:1">
      <c r="A250" t="s">
        <v>1346</v>
      </c>
    </row>
    <row r="251" spans="1:1">
      <c r="A251" t="s">
        <v>1349</v>
      </c>
    </row>
    <row r="252" spans="1:1">
      <c r="A252" t="s">
        <v>1353</v>
      </c>
    </row>
    <row r="253" spans="1:1">
      <c r="A253" t="s">
        <v>1354</v>
      </c>
    </row>
    <row r="254" spans="1:1">
      <c r="A254" t="s">
        <v>1355</v>
      </c>
    </row>
    <row r="255" spans="1:1">
      <c r="A255" t="s">
        <v>1357</v>
      </c>
    </row>
    <row r="256" spans="1:1">
      <c r="A256" t="s">
        <v>1358</v>
      </c>
    </row>
    <row r="257" spans="1:1">
      <c r="A257" t="s">
        <v>1360</v>
      </c>
    </row>
    <row r="258" spans="1:1">
      <c r="A258" t="s">
        <v>1362</v>
      </c>
    </row>
    <row r="259" spans="1:1">
      <c r="A259" t="s">
        <v>1364</v>
      </c>
    </row>
    <row r="260" spans="1:1">
      <c r="A260" t="s">
        <v>1365</v>
      </c>
    </row>
    <row r="261" spans="1:1">
      <c r="A261" t="s">
        <v>1367</v>
      </c>
    </row>
    <row r="262" spans="1:1">
      <c r="A262" t="s">
        <v>1368</v>
      </c>
    </row>
    <row r="263" spans="1:1">
      <c r="A263" t="s">
        <v>1369</v>
      </c>
    </row>
    <row r="264" spans="1:1">
      <c r="A264" t="s">
        <v>1370</v>
      </c>
    </row>
    <row r="265" spans="1:1">
      <c r="A265" t="s">
        <v>1371</v>
      </c>
    </row>
    <row r="266" spans="1:1">
      <c r="A266" t="s">
        <v>1372</v>
      </c>
    </row>
    <row r="267" spans="1:1">
      <c r="A267" t="s">
        <v>1373</v>
      </c>
    </row>
    <row r="268" spans="1:1">
      <c r="A268" t="s">
        <v>1374</v>
      </c>
    </row>
    <row r="269" spans="1:1">
      <c r="A269" t="s">
        <v>1375</v>
      </c>
    </row>
    <row r="270" spans="1:1">
      <c r="A270" t="s">
        <v>1376</v>
      </c>
    </row>
    <row r="271" spans="1:1">
      <c r="A271" t="s">
        <v>1377</v>
      </c>
    </row>
    <row r="272" spans="1:1">
      <c r="A272" t="s">
        <v>1384</v>
      </c>
    </row>
    <row r="273" spans="1:1">
      <c r="A273" t="s">
        <v>1385</v>
      </c>
    </row>
    <row r="274" spans="1:1">
      <c r="A274" t="s">
        <v>1388</v>
      </c>
    </row>
    <row r="275" spans="1:1">
      <c r="A275" t="s">
        <v>1392</v>
      </c>
    </row>
    <row r="276" spans="1:1">
      <c r="A276" t="s">
        <v>1393</v>
      </c>
    </row>
    <row r="277" spans="1:1">
      <c r="A277" t="s">
        <v>1394</v>
      </c>
    </row>
    <row r="278" spans="1:1">
      <c r="A278" t="s">
        <v>1396</v>
      </c>
    </row>
    <row r="279" spans="1:1">
      <c r="A279" t="s">
        <v>1398</v>
      </c>
    </row>
    <row r="280" spans="1:1">
      <c r="A280" t="s">
        <v>1414</v>
      </c>
    </row>
    <row r="281" spans="1:1">
      <c r="A281" t="s">
        <v>1401</v>
      </c>
    </row>
    <row r="282" spans="1:1">
      <c r="A282" t="s">
        <v>1403</v>
      </c>
    </row>
    <row r="283" spans="1:1">
      <c r="A283" t="s">
        <v>1408</v>
      </c>
    </row>
    <row r="284" spans="1:1">
      <c r="A284" s="20" t="s">
        <v>1410</v>
      </c>
    </row>
    <row r="285" spans="1:1">
      <c r="A285" t="s">
        <v>1411</v>
      </c>
    </row>
    <row r="286" spans="1:1">
      <c r="A286" t="s">
        <v>1412</v>
      </c>
    </row>
    <row r="287" spans="1:1">
      <c r="A287" t="s">
        <v>1413</v>
      </c>
    </row>
    <row r="288" spans="1:1">
      <c r="A288" t="s">
        <v>1416</v>
      </c>
    </row>
    <row r="289" spans="1:1">
      <c r="A289" t="s">
        <v>1418</v>
      </c>
    </row>
    <row r="290" spans="1:1">
      <c r="A290" t="s">
        <v>1419</v>
      </c>
    </row>
    <row r="291" spans="1:1">
      <c r="A291" t="s">
        <v>1420</v>
      </c>
    </row>
    <row r="292" spans="1:1">
      <c r="A292" t="s">
        <v>1421</v>
      </c>
    </row>
    <row r="293" spans="1:1">
      <c r="A293" t="s">
        <v>1423</v>
      </c>
    </row>
    <row r="294" spans="1:1">
      <c r="A294" t="s">
        <v>1425</v>
      </c>
    </row>
    <row r="295" spans="1:1">
      <c r="A295" t="s">
        <v>1426</v>
      </c>
    </row>
    <row r="296" spans="1:1">
      <c r="A296" t="s">
        <v>1428</v>
      </c>
    </row>
    <row r="297" spans="1:1">
      <c r="A297" t="s">
        <v>1431</v>
      </c>
    </row>
  </sheetData>
  <sortState xmlns:xlrd2="http://schemas.microsoft.com/office/spreadsheetml/2017/richdata2" ref="A9:A51">
    <sortCondition ref="A9:A51"/>
  </sortState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43F5B-91BC-4E76-9DC5-B4AB304F2CF7}">
  <sheetPr codeName="List5"/>
  <dimension ref="A1:F825"/>
  <sheetViews>
    <sheetView workbookViewId="0">
      <selection activeCell="A47" sqref="A47"/>
    </sheetView>
  </sheetViews>
  <sheetFormatPr defaultRowHeight="15"/>
  <cols>
    <col min="1" max="1" width="57.28515625" bestFit="1" customWidth="1"/>
    <col min="2" max="2" width="14" bestFit="1" customWidth="1"/>
    <col min="3" max="3" width="14.7109375" bestFit="1" customWidth="1"/>
    <col min="4" max="4" width="14" bestFit="1" customWidth="1"/>
    <col min="5" max="5" width="9.5703125" customWidth="1"/>
    <col min="6" max="6" width="18.5703125" bestFit="1" customWidth="1"/>
  </cols>
  <sheetData>
    <row r="1" spans="1:6">
      <c r="A1" s="18" t="s">
        <v>69</v>
      </c>
      <c r="B1" t="s">
        <v>8</v>
      </c>
      <c r="C1" t="s">
        <v>870</v>
      </c>
      <c r="D1" t="s">
        <v>885</v>
      </c>
      <c r="E1" t="s">
        <v>911</v>
      </c>
      <c r="F1" t="s">
        <v>906</v>
      </c>
    </row>
    <row r="2" spans="1:6">
      <c r="A2" s="18" t="s">
        <v>70</v>
      </c>
      <c r="B2" t="s">
        <v>0</v>
      </c>
      <c r="C2" t="s">
        <v>871</v>
      </c>
      <c r="D2" t="s">
        <v>886</v>
      </c>
      <c r="E2" t="s">
        <v>912</v>
      </c>
      <c r="F2" t="s">
        <v>64</v>
      </c>
    </row>
    <row r="3" spans="1:6">
      <c r="A3" s="18" t="s">
        <v>71</v>
      </c>
      <c r="B3" t="s">
        <v>2</v>
      </c>
      <c r="C3" t="s">
        <v>881</v>
      </c>
      <c r="D3" t="s">
        <v>887</v>
      </c>
      <c r="F3" t="s">
        <v>907</v>
      </c>
    </row>
    <row r="4" spans="1:6">
      <c r="A4" s="18" t="s">
        <v>72</v>
      </c>
      <c r="B4" t="s">
        <v>36</v>
      </c>
      <c r="C4" t="s">
        <v>882</v>
      </c>
      <c r="D4" t="s">
        <v>888</v>
      </c>
      <c r="F4" t="s">
        <v>908</v>
      </c>
    </row>
    <row r="5" spans="1:6">
      <c r="A5" s="18" t="s">
        <v>73</v>
      </c>
      <c r="B5" t="s">
        <v>869</v>
      </c>
      <c r="D5" t="s">
        <v>889</v>
      </c>
      <c r="F5" t="s">
        <v>909</v>
      </c>
    </row>
    <row r="6" spans="1:6">
      <c r="A6" s="18" t="s">
        <v>74</v>
      </c>
      <c r="D6" t="s">
        <v>890</v>
      </c>
      <c r="F6" t="s">
        <v>58</v>
      </c>
    </row>
    <row r="7" spans="1:6">
      <c r="A7" s="18" t="s">
        <v>75</v>
      </c>
      <c r="D7" t="s">
        <v>891</v>
      </c>
      <c r="F7" t="s">
        <v>913</v>
      </c>
    </row>
    <row r="8" spans="1:6">
      <c r="A8" s="18" t="s">
        <v>76</v>
      </c>
      <c r="D8" t="s">
        <v>893</v>
      </c>
      <c r="F8" t="s">
        <v>914</v>
      </c>
    </row>
    <row r="9" spans="1:6">
      <c r="A9" s="18" t="s">
        <v>77</v>
      </c>
      <c r="D9" t="s">
        <v>869</v>
      </c>
      <c r="F9" t="s">
        <v>925</v>
      </c>
    </row>
    <row r="10" spans="1:6">
      <c r="A10" s="18" t="s">
        <v>78</v>
      </c>
      <c r="D10" t="s">
        <v>924</v>
      </c>
      <c r="F10" t="s">
        <v>941</v>
      </c>
    </row>
    <row r="11" spans="1:6">
      <c r="A11" s="18" t="s">
        <v>79</v>
      </c>
      <c r="D11" t="s">
        <v>940</v>
      </c>
      <c r="F11" t="s">
        <v>959</v>
      </c>
    </row>
    <row r="12" spans="1:6">
      <c r="A12" s="18" t="s">
        <v>80</v>
      </c>
      <c r="D12" t="s">
        <v>976</v>
      </c>
      <c r="F12" t="s">
        <v>979</v>
      </c>
    </row>
    <row r="13" spans="1:6">
      <c r="A13" s="18" t="s">
        <v>81</v>
      </c>
      <c r="D13" t="s">
        <v>985</v>
      </c>
      <c r="F13" t="s">
        <v>983</v>
      </c>
    </row>
    <row r="14" spans="1:6">
      <c r="A14" s="18" t="s">
        <v>82</v>
      </c>
      <c r="D14" t="s">
        <v>1019</v>
      </c>
      <c r="F14" t="s">
        <v>986</v>
      </c>
    </row>
    <row r="15" spans="1:6">
      <c r="A15" s="18" t="s">
        <v>83</v>
      </c>
      <c r="D15" t="s">
        <v>1035</v>
      </c>
      <c r="F15" t="s">
        <v>998</v>
      </c>
    </row>
    <row r="16" spans="1:6">
      <c r="A16" s="18" t="s">
        <v>84</v>
      </c>
      <c r="D16" t="s">
        <v>1058</v>
      </c>
      <c r="F16" t="s">
        <v>1020</v>
      </c>
    </row>
    <row r="17" spans="1:6">
      <c r="A17" s="18" t="s">
        <v>85</v>
      </c>
      <c r="D17" t="s">
        <v>1120</v>
      </c>
      <c r="F17" t="s">
        <v>1021</v>
      </c>
    </row>
    <row r="18" spans="1:6">
      <c r="A18" s="18" t="s">
        <v>86</v>
      </c>
      <c r="D18" t="s">
        <v>1137</v>
      </c>
      <c r="F18" t="s">
        <v>1034</v>
      </c>
    </row>
    <row r="19" spans="1:6">
      <c r="A19" s="18" t="s">
        <v>87</v>
      </c>
      <c r="D19" t="s">
        <v>1166</v>
      </c>
      <c r="F19" t="s">
        <v>1036</v>
      </c>
    </row>
    <row r="20" spans="1:6">
      <c r="A20" s="18" t="s">
        <v>88</v>
      </c>
      <c r="D20" t="s">
        <v>1181</v>
      </c>
      <c r="F20" t="s">
        <v>1043</v>
      </c>
    </row>
    <row r="21" spans="1:6">
      <c r="A21" s="18" t="s">
        <v>89</v>
      </c>
      <c r="D21" t="s">
        <v>1287</v>
      </c>
      <c r="F21" t="s">
        <v>1048</v>
      </c>
    </row>
    <row r="22" spans="1:6">
      <c r="A22" s="18" t="s">
        <v>90</v>
      </c>
      <c r="D22" t="s">
        <v>1320</v>
      </c>
      <c r="F22" t="s">
        <v>1057</v>
      </c>
    </row>
    <row r="23" spans="1:6">
      <c r="A23" s="18" t="s">
        <v>91</v>
      </c>
      <c r="D23" t="s">
        <v>1379</v>
      </c>
      <c r="F23" t="s">
        <v>1080</v>
      </c>
    </row>
    <row r="24" spans="1:6">
      <c r="A24" s="18" t="s">
        <v>92</v>
      </c>
      <c r="F24" t="s">
        <v>1097</v>
      </c>
    </row>
    <row r="25" spans="1:6">
      <c r="A25" s="18" t="s">
        <v>93</v>
      </c>
      <c r="F25" t="s">
        <v>1103</v>
      </c>
    </row>
    <row r="26" spans="1:6">
      <c r="A26" s="18" t="s">
        <v>94</v>
      </c>
      <c r="F26" t="s">
        <v>1106</v>
      </c>
    </row>
    <row r="27" spans="1:6">
      <c r="A27" s="18" t="s">
        <v>95</v>
      </c>
      <c r="F27" t="s">
        <v>1114</v>
      </c>
    </row>
    <row r="28" spans="1:6">
      <c r="A28" s="18" t="s">
        <v>96</v>
      </c>
      <c r="F28" t="s">
        <v>1126</v>
      </c>
    </row>
    <row r="29" spans="1:6">
      <c r="A29" s="18" t="s">
        <v>97</v>
      </c>
      <c r="F29" t="s">
        <v>1131</v>
      </c>
    </row>
    <row r="30" spans="1:6">
      <c r="A30" s="18" t="s">
        <v>98</v>
      </c>
      <c r="F30" t="s">
        <v>1136</v>
      </c>
    </row>
    <row r="31" spans="1:6">
      <c r="A31" s="18" t="s">
        <v>99</v>
      </c>
      <c r="F31" t="s">
        <v>1142</v>
      </c>
    </row>
    <row r="32" spans="1:6">
      <c r="A32" s="18" t="s">
        <v>100</v>
      </c>
      <c r="F32" t="s">
        <v>1163</v>
      </c>
    </row>
    <row r="33" spans="1:6">
      <c r="A33" s="18" t="s">
        <v>101</v>
      </c>
      <c r="F33" t="s">
        <v>1167</v>
      </c>
    </row>
    <row r="34" spans="1:6">
      <c r="A34" s="18" t="s">
        <v>102</v>
      </c>
      <c r="F34" t="s">
        <v>1175</v>
      </c>
    </row>
    <row r="35" spans="1:6">
      <c r="A35" s="18" t="s">
        <v>103</v>
      </c>
      <c r="F35" t="s">
        <v>1177</v>
      </c>
    </row>
    <row r="36" spans="1:6">
      <c r="A36" s="18" t="s">
        <v>104</v>
      </c>
      <c r="F36" t="s">
        <v>1211</v>
      </c>
    </row>
    <row r="37" spans="1:6">
      <c r="A37" s="18" t="s">
        <v>105</v>
      </c>
      <c r="F37" t="s">
        <v>1212</v>
      </c>
    </row>
    <row r="38" spans="1:6">
      <c r="A38" s="18" t="s">
        <v>106</v>
      </c>
      <c r="F38" t="s">
        <v>1224</v>
      </c>
    </row>
    <row r="39" spans="1:6">
      <c r="A39" s="18" t="s">
        <v>107</v>
      </c>
      <c r="F39" t="s">
        <v>1264</v>
      </c>
    </row>
    <row r="40" spans="1:6">
      <c r="A40" s="18" t="s">
        <v>108</v>
      </c>
      <c r="F40" t="s">
        <v>1268</v>
      </c>
    </row>
    <row r="41" spans="1:6">
      <c r="A41" s="18" t="s">
        <v>109</v>
      </c>
      <c r="F41" t="s">
        <v>1269</v>
      </c>
    </row>
    <row r="42" spans="1:6">
      <c r="A42" s="18" t="s">
        <v>110</v>
      </c>
      <c r="F42" t="s">
        <v>1281</v>
      </c>
    </row>
    <row r="43" spans="1:6">
      <c r="A43" s="18" t="s">
        <v>111</v>
      </c>
      <c r="F43" t="s">
        <v>1294</v>
      </c>
    </row>
    <row r="44" spans="1:6">
      <c r="A44" s="18" t="s">
        <v>112</v>
      </c>
      <c r="F44" t="s">
        <v>1303</v>
      </c>
    </row>
    <row r="45" spans="1:6">
      <c r="A45" s="18" t="s">
        <v>113</v>
      </c>
      <c r="F45" t="s">
        <v>1321</v>
      </c>
    </row>
    <row r="46" spans="1:6">
      <c r="A46" s="18" t="s">
        <v>114</v>
      </c>
      <c r="F46" t="s">
        <v>1366</v>
      </c>
    </row>
    <row r="47" spans="1:6">
      <c r="A47" s="18" t="s">
        <v>115</v>
      </c>
      <c r="F47" t="s">
        <v>1406</v>
      </c>
    </row>
    <row r="48" spans="1:6">
      <c r="A48" s="18" t="s">
        <v>116</v>
      </c>
    </row>
    <row r="49" spans="1:1">
      <c r="A49" s="18" t="s">
        <v>117</v>
      </c>
    </row>
    <row r="50" spans="1:1">
      <c r="A50" s="18" t="s">
        <v>118</v>
      </c>
    </row>
    <row r="51" spans="1:1">
      <c r="A51" s="18" t="s">
        <v>119</v>
      </c>
    </row>
    <row r="52" spans="1:1">
      <c r="A52" s="18" t="s">
        <v>120</v>
      </c>
    </row>
    <row r="53" spans="1:1">
      <c r="A53" s="18" t="s">
        <v>121</v>
      </c>
    </row>
    <row r="54" spans="1:1">
      <c r="A54" s="18" t="s">
        <v>122</v>
      </c>
    </row>
    <row r="55" spans="1:1">
      <c r="A55" s="18" t="s">
        <v>123</v>
      </c>
    </row>
    <row r="56" spans="1:1">
      <c r="A56" s="18" t="s">
        <v>124</v>
      </c>
    </row>
    <row r="57" spans="1:1">
      <c r="A57" s="18" t="s">
        <v>125</v>
      </c>
    </row>
    <row r="58" spans="1:1">
      <c r="A58" s="18" t="s">
        <v>126</v>
      </c>
    </row>
    <row r="59" spans="1:1">
      <c r="A59" s="18" t="s">
        <v>127</v>
      </c>
    </row>
    <row r="60" spans="1:1">
      <c r="A60" s="18" t="s">
        <v>128</v>
      </c>
    </row>
    <row r="61" spans="1:1">
      <c r="A61" s="18" t="s">
        <v>129</v>
      </c>
    </row>
    <row r="62" spans="1:1">
      <c r="A62" s="18" t="s">
        <v>130</v>
      </c>
    </row>
    <row r="63" spans="1:1">
      <c r="A63" s="18" t="s">
        <v>131</v>
      </c>
    </row>
    <row r="64" spans="1:1">
      <c r="A64" s="18" t="s">
        <v>132</v>
      </c>
    </row>
    <row r="65" spans="1:1">
      <c r="A65" s="18" t="s">
        <v>133</v>
      </c>
    </row>
    <row r="66" spans="1:1">
      <c r="A66" s="18" t="s">
        <v>134</v>
      </c>
    </row>
    <row r="67" spans="1:1">
      <c r="A67" s="18" t="s">
        <v>135</v>
      </c>
    </row>
    <row r="68" spans="1:1">
      <c r="A68" s="18" t="s">
        <v>136</v>
      </c>
    </row>
    <row r="69" spans="1:1">
      <c r="A69" s="18" t="s">
        <v>137</v>
      </c>
    </row>
    <row r="70" spans="1:1">
      <c r="A70" s="18" t="s">
        <v>138</v>
      </c>
    </row>
    <row r="71" spans="1:1">
      <c r="A71" s="18" t="s">
        <v>139</v>
      </c>
    </row>
    <row r="72" spans="1:1">
      <c r="A72" s="18" t="s">
        <v>140</v>
      </c>
    </row>
    <row r="73" spans="1:1">
      <c r="A73" s="18" t="s">
        <v>141</v>
      </c>
    </row>
    <row r="74" spans="1:1">
      <c r="A74" s="18" t="s">
        <v>142</v>
      </c>
    </row>
    <row r="75" spans="1:1">
      <c r="A75" s="18" t="s">
        <v>143</v>
      </c>
    </row>
    <row r="76" spans="1:1">
      <c r="A76" s="18" t="s">
        <v>144</v>
      </c>
    </row>
    <row r="77" spans="1:1">
      <c r="A77" s="18" t="s">
        <v>145</v>
      </c>
    </row>
    <row r="78" spans="1:1">
      <c r="A78" s="18" t="s">
        <v>146</v>
      </c>
    </row>
    <row r="79" spans="1:1">
      <c r="A79" s="18" t="s">
        <v>147</v>
      </c>
    </row>
    <row r="80" spans="1:1">
      <c r="A80" s="18" t="s">
        <v>148</v>
      </c>
    </row>
    <row r="81" spans="1:1">
      <c r="A81" s="18" t="s">
        <v>149</v>
      </c>
    </row>
    <row r="82" spans="1:1">
      <c r="A82" s="18" t="s">
        <v>150</v>
      </c>
    </row>
    <row r="83" spans="1:1">
      <c r="A83" s="18" t="s">
        <v>151</v>
      </c>
    </row>
    <row r="84" spans="1:1">
      <c r="A84" s="18" t="s">
        <v>152</v>
      </c>
    </row>
    <row r="85" spans="1:1">
      <c r="A85" s="18" t="s">
        <v>153</v>
      </c>
    </row>
    <row r="86" spans="1:1">
      <c r="A86" s="18" t="s">
        <v>154</v>
      </c>
    </row>
    <row r="87" spans="1:1">
      <c r="A87" s="18" t="s">
        <v>155</v>
      </c>
    </row>
    <row r="88" spans="1:1">
      <c r="A88" s="18" t="s">
        <v>156</v>
      </c>
    </row>
    <row r="89" spans="1:1">
      <c r="A89" s="18" t="s">
        <v>157</v>
      </c>
    </row>
    <row r="90" spans="1:1">
      <c r="A90" s="18" t="s">
        <v>158</v>
      </c>
    </row>
    <row r="91" spans="1:1">
      <c r="A91" s="18" t="s">
        <v>159</v>
      </c>
    </row>
    <row r="92" spans="1:1">
      <c r="A92" s="18" t="s">
        <v>160</v>
      </c>
    </row>
    <row r="93" spans="1:1">
      <c r="A93" s="18" t="s">
        <v>161</v>
      </c>
    </row>
    <row r="94" spans="1:1">
      <c r="A94" s="18" t="s">
        <v>162</v>
      </c>
    </row>
    <row r="95" spans="1:1">
      <c r="A95" s="18" t="s">
        <v>163</v>
      </c>
    </row>
    <row r="96" spans="1:1">
      <c r="A96" s="18" t="s">
        <v>164</v>
      </c>
    </row>
    <row r="97" spans="1:1">
      <c r="A97" s="18" t="s">
        <v>165</v>
      </c>
    </row>
    <row r="98" spans="1:1">
      <c r="A98" s="18" t="s">
        <v>166</v>
      </c>
    </row>
    <row r="99" spans="1:1">
      <c r="A99" s="18" t="s">
        <v>167</v>
      </c>
    </row>
    <row r="100" spans="1:1">
      <c r="A100" s="18" t="s">
        <v>168</v>
      </c>
    </row>
    <row r="101" spans="1:1">
      <c r="A101" s="18" t="s">
        <v>169</v>
      </c>
    </row>
    <row r="102" spans="1:1">
      <c r="A102" s="18" t="s">
        <v>170</v>
      </c>
    </row>
    <row r="103" spans="1:1">
      <c r="A103" s="18" t="s">
        <v>171</v>
      </c>
    </row>
    <row r="104" spans="1:1">
      <c r="A104" s="18" t="s">
        <v>172</v>
      </c>
    </row>
    <row r="105" spans="1:1">
      <c r="A105" s="18" t="s">
        <v>173</v>
      </c>
    </row>
    <row r="106" spans="1:1">
      <c r="A106" s="18" t="s">
        <v>174</v>
      </c>
    </row>
    <row r="107" spans="1:1">
      <c r="A107" s="18" t="s">
        <v>175</v>
      </c>
    </row>
    <row r="108" spans="1:1">
      <c r="A108" s="18" t="s">
        <v>176</v>
      </c>
    </row>
    <row r="109" spans="1:1">
      <c r="A109" s="18" t="s">
        <v>177</v>
      </c>
    </row>
    <row r="110" spans="1:1">
      <c r="A110" s="18" t="s">
        <v>178</v>
      </c>
    </row>
    <row r="111" spans="1:1">
      <c r="A111" s="18" t="s">
        <v>179</v>
      </c>
    </row>
    <row r="112" spans="1:1">
      <c r="A112" s="18" t="s">
        <v>180</v>
      </c>
    </row>
    <row r="113" spans="1:1">
      <c r="A113" s="18" t="s">
        <v>181</v>
      </c>
    </row>
    <row r="114" spans="1:1">
      <c r="A114" s="18" t="s">
        <v>182</v>
      </c>
    </row>
    <row r="115" spans="1:1">
      <c r="A115" s="18" t="s">
        <v>183</v>
      </c>
    </row>
    <row r="116" spans="1:1">
      <c r="A116" s="18" t="s">
        <v>184</v>
      </c>
    </row>
    <row r="117" spans="1:1">
      <c r="A117" s="18" t="s">
        <v>185</v>
      </c>
    </row>
    <row r="118" spans="1:1">
      <c r="A118" s="18" t="s">
        <v>186</v>
      </c>
    </row>
    <row r="119" spans="1:1">
      <c r="A119" s="18" t="s">
        <v>187</v>
      </c>
    </row>
    <row r="120" spans="1:1">
      <c r="A120" s="18" t="s">
        <v>188</v>
      </c>
    </row>
    <row r="121" spans="1:1">
      <c r="A121" s="18" t="s">
        <v>189</v>
      </c>
    </row>
    <row r="122" spans="1:1">
      <c r="A122" s="18" t="s">
        <v>190</v>
      </c>
    </row>
    <row r="123" spans="1:1">
      <c r="A123" s="18" t="s">
        <v>191</v>
      </c>
    </row>
    <row r="124" spans="1:1">
      <c r="A124" s="18" t="s">
        <v>192</v>
      </c>
    </row>
    <row r="125" spans="1:1">
      <c r="A125" s="18" t="s">
        <v>193</v>
      </c>
    </row>
    <row r="126" spans="1:1">
      <c r="A126" s="18" t="s">
        <v>194</v>
      </c>
    </row>
    <row r="127" spans="1:1">
      <c r="A127" s="18" t="s">
        <v>195</v>
      </c>
    </row>
    <row r="128" spans="1:1">
      <c r="A128" s="18" t="s">
        <v>196</v>
      </c>
    </row>
    <row r="129" spans="1:1">
      <c r="A129" s="18" t="s">
        <v>197</v>
      </c>
    </row>
    <row r="130" spans="1:1">
      <c r="A130" s="18" t="s">
        <v>198</v>
      </c>
    </row>
    <row r="131" spans="1:1">
      <c r="A131" s="18" t="s">
        <v>199</v>
      </c>
    </row>
    <row r="132" spans="1:1">
      <c r="A132" s="18" t="s">
        <v>200</v>
      </c>
    </row>
    <row r="133" spans="1:1">
      <c r="A133" s="18" t="s">
        <v>201</v>
      </c>
    </row>
    <row r="134" spans="1:1">
      <c r="A134" s="18" t="s">
        <v>202</v>
      </c>
    </row>
    <row r="135" spans="1:1">
      <c r="A135" s="18" t="s">
        <v>203</v>
      </c>
    </row>
    <row r="136" spans="1:1">
      <c r="A136" s="18" t="s">
        <v>204</v>
      </c>
    </row>
    <row r="137" spans="1:1">
      <c r="A137" s="18" t="s">
        <v>205</v>
      </c>
    </row>
    <row r="138" spans="1:1">
      <c r="A138" s="18" t="s">
        <v>206</v>
      </c>
    </row>
    <row r="139" spans="1:1">
      <c r="A139" s="18" t="s">
        <v>207</v>
      </c>
    </row>
    <row r="140" spans="1:1">
      <c r="A140" s="18" t="s">
        <v>208</v>
      </c>
    </row>
    <row r="141" spans="1:1">
      <c r="A141" s="18" t="s">
        <v>209</v>
      </c>
    </row>
    <row r="142" spans="1:1">
      <c r="A142" s="18" t="s">
        <v>210</v>
      </c>
    </row>
    <row r="143" spans="1:1">
      <c r="A143" s="18" t="s">
        <v>211</v>
      </c>
    </row>
    <row r="144" spans="1:1">
      <c r="A144" s="18" t="s">
        <v>212</v>
      </c>
    </row>
    <row r="145" spans="1:1">
      <c r="A145" s="18" t="s">
        <v>213</v>
      </c>
    </row>
    <row r="146" spans="1:1">
      <c r="A146" s="18" t="s">
        <v>214</v>
      </c>
    </row>
    <row r="147" spans="1:1">
      <c r="A147" s="18" t="s">
        <v>215</v>
      </c>
    </row>
    <row r="148" spans="1:1">
      <c r="A148" s="18" t="s">
        <v>216</v>
      </c>
    </row>
    <row r="149" spans="1:1">
      <c r="A149" s="18" t="s">
        <v>217</v>
      </c>
    </row>
    <row r="150" spans="1:1">
      <c r="A150" s="18" t="s">
        <v>218</v>
      </c>
    </row>
    <row r="151" spans="1:1">
      <c r="A151" s="18" t="s">
        <v>219</v>
      </c>
    </row>
    <row r="152" spans="1:1">
      <c r="A152" s="18" t="s">
        <v>220</v>
      </c>
    </row>
    <row r="153" spans="1:1">
      <c r="A153" s="18" t="s">
        <v>221</v>
      </c>
    </row>
    <row r="154" spans="1:1">
      <c r="A154" s="18" t="s">
        <v>222</v>
      </c>
    </row>
    <row r="155" spans="1:1">
      <c r="A155" s="18" t="s">
        <v>223</v>
      </c>
    </row>
    <row r="156" spans="1:1">
      <c r="A156" s="18" t="s">
        <v>224</v>
      </c>
    </row>
    <row r="157" spans="1:1">
      <c r="A157" s="18" t="s">
        <v>225</v>
      </c>
    </row>
    <row r="158" spans="1:1">
      <c r="A158" s="18" t="s">
        <v>226</v>
      </c>
    </row>
    <row r="159" spans="1:1">
      <c r="A159" s="18" t="s">
        <v>227</v>
      </c>
    </row>
    <row r="160" spans="1:1">
      <c r="A160" s="18" t="s">
        <v>228</v>
      </c>
    </row>
    <row r="161" spans="1:1">
      <c r="A161" s="18" t="s">
        <v>229</v>
      </c>
    </row>
    <row r="162" spans="1:1">
      <c r="A162" s="18" t="s">
        <v>230</v>
      </c>
    </row>
    <row r="163" spans="1:1">
      <c r="A163" s="18" t="s">
        <v>231</v>
      </c>
    </row>
    <row r="164" spans="1:1">
      <c r="A164" s="18" t="s">
        <v>232</v>
      </c>
    </row>
    <row r="165" spans="1:1">
      <c r="A165" s="18" t="s">
        <v>233</v>
      </c>
    </row>
    <row r="166" spans="1:1">
      <c r="A166" s="18" t="s">
        <v>234</v>
      </c>
    </row>
    <row r="167" spans="1:1">
      <c r="A167" s="18" t="s">
        <v>235</v>
      </c>
    </row>
    <row r="168" spans="1:1">
      <c r="A168" s="18" t="s">
        <v>236</v>
      </c>
    </row>
    <row r="169" spans="1:1">
      <c r="A169" s="18" t="s">
        <v>237</v>
      </c>
    </row>
    <row r="170" spans="1:1">
      <c r="A170" s="18" t="s">
        <v>238</v>
      </c>
    </row>
    <row r="171" spans="1:1">
      <c r="A171" s="18" t="s">
        <v>239</v>
      </c>
    </row>
    <row r="172" spans="1:1">
      <c r="A172" s="18" t="s">
        <v>240</v>
      </c>
    </row>
    <row r="173" spans="1:1">
      <c r="A173" s="18" t="s">
        <v>241</v>
      </c>
    </row>
    <row r="174" spans="1:1">
      <c r="A174" s="18" t="s">
        <v>242</v>
      </c>
    </row>
    <row r="175" spans="1:1">
      <c r="A175" s="18" t="s">
        <v>243</v>
      </c>
    </row>
    <row r="176" spans="1:1">
      <c r="A176" s="18" t="s">
        <v>244</v>
      </c>
    </row>
    <row r="177" spans="1:1">
      <c r="A177" s="18" t="s">
        <v>245</v>
      </c>
    </row>
    <row r="178" spans="1:1">
      <c r="A178" s="18" t="s">
        <v>246</v>
      </c>
    </row>
    <row r="179" spans="1:1">
      <c r="A179" s="18" t="s">
        <v>247</v>
      </c>
    </row>
    <row r="180" spans="1:1">
      <c r="A180" s="18" t="s">
        <v>248</v>
      </c>
    </row>
    <row r="181" spans="1:1">
      <c r="A181" s="18" t="s">
        <v>249</v>
      </c>
    </row>
    <row r="182" spans="1:1">
      <c r="A182" s="18" t="s">
        <v>250</v>
      </c>
    </row>
    <row r="183" spans="1:1">
      <c r="A183" s="18" t="s">
        <v>251</v>
      </c>
    </row>
    <row r="184" spans="1:1">
      <c r="A184" s="18" t="s">
        <v>252</v>
      </c>
    </row>
    <row r="185" spans="1:1">
      <c r="A185" s="18" t="s">
        <v>253</v>
      </c>
    </row>
    <row r="186" spans="1:1">
      <c r="A186" s="18" t="s">
        <v>254</v>
      </c>
    </row>
    <row r="187" spans="1:1">
      <c r="A187" s="18" t="s">
        <v>255</v>
      </c>
    </row>
    <row r="188" spans="1:1">
      <c r="A188" s="18" t="s">
        <v>256</v>
      </c>
    </row>
    <row r="189" spans="1:1">
      <c r="A189" s="18" t="s">
        <v>257</v>
      </c>
    </row>
    <row r="190" spans="1:1">
      <c r="A190" s="18" t="s">
        <v>258</v>
      </c>
    </row>
    <row r="191" spans="1:1">
      <c r="A191" s="18" t="s">
        <v>259</v>
      </c>
    </row>
    <row r="192" spans="1:1">
      <c r="A192" s="18" t="s">
        <v>260</v>
      </c>
    </row>
    <row r="193" spans="1:1">
      <c r="A193" s="18" t="s">
        <v>261</v>
      </c>
    </row>
    <row r="194" spans="1:1">
      <c r="A194" s="18" t="s">
        <v>262</v>
      </c>
    </row>
    <row r="195" spans="1:1">
      <c r="A195" s="18" t="s">
        <v>263</v>
      </c>
    </row>
    <row r="196" spans="1:1">
      <c r="A196" s="18" t="s">
        <v>264</v>
      </c>
    </row>
    <row r="197" spans="1:1">
      <c r="A197" s="18" t="s">
        <v>265</v>
      </c>
    </row>
    <row r="198" spans="1:1">
      <c r="A198" s="18" t="s">
        <v>266</v>
      </c>
    </row>
    <row r="199" spans="1:1">
      <c r="A199" s="18" t="s">
        <v>267</v>
      </c>
    </row>
    <row r="200" spans="1:1">
      <c r="A200" s="18" t="s">
        <v>268</v>
      </c>
    </row>
    <row r="201" spans="1:1">
      <c r="A201" s="18" t="s">
        <v>269</v>
      </c>
    </row>
    <row r="202" spans="1:1">
      <c r="A202" s="18" t="s">
        <v>270</v>
      </c>
    </row>
    <row r="203" spans="1:1">
      <c r="A203" s="18" t="s">
        <v>271</v>
      </c>
    </row>
    <row r="204" spans="1:1">
      <c r="A204" s="18" t="s">
        <v>272</v>
      </c>
    </row>
    <row r="205" spans="1:1">
      <c r="A205" s="18" t="s">
        <v>273</v>
      </c>
    </row>
    <row r="206" spans="1:1">
      <c r="A206" s="18" t="s">
        <v>274</v>
      </c>
    </row>
    <row r="207" spans="1:1">
      <c r="A207" s="18" t="s">
        <v>275</v>
      </c>
    </row>
    <row r="208" spans="1:1">
      <c r="A208" s="18" t="s">
        <v>276</v>
      </c>
    </row>
    <row r="209" spans="1:1">
      <c r="A209" s="18" t="s">
        <v>277</v>
      </c>
    </row>
    <row r="210" spans="1:1">
      <c r="A210" s="18" t="s">
        <v>278</v>
      </c>
    </row>
    <row r="211" spans="1:1">
      <c r="A211" s="18" t="s">
        <v>279</v>
      </c>
    </row>
    <row r="212" spans="1:1">
      <c r="A212" s="18" t="s">
        <v>280</v>
      </c>
    </row>
    <row r="213" spans="1:1">
      <c r="A213" s="18" t="s">
        <v>281</v>
      </c>
    </row>
    <row r="214" spans="1:1">
      <c r="A214" s="18" t="s">
        <v>282</v>
      </c>
    </row>
    <row r="215" spans="1:1">
      <c r="A215" s="18" t="s">
        <v>283</v>
      </c>
    </row>
    <row r="216" spans="1:1">
      <c r="A216" s="18" t="s">
        <v>284</v>
      </c>
    </row>
    <row r="217" spans="1:1">
      <c r="A217" s="18" t="s">
        <v>285</v>
      </c>
    </row>
    <row r="218" spans="1:1">
      <c r="A218" s="18" t="s">
        <v>286</v>
      </c>
    </row>
    <row r="219" spans="1:1">
      <c r="A219" s="18" t="s">
        <v>287</v>
      </c>
    </row>
    <row r="220" spans="1:1">
      <c r="A220" s="18" t="s">
        <v>288</v>
      </c>
    </row>
    <row r="221" spans="1:1">
      <c r="A221" s="18" t="s">
        <v>289</v>
      </c>
    </row>
    <row r="222" spans="1:1">
      <c r="A222" s="18" t="s">
        <v>290</v>
      </c>
    </row>
    <row r="223" spans="1:1">
      <c r="A223" s="18" t="s">
        <v>291</v>
      </c>
    </row>
    <row r="224" spans="1:1">
      <c r="A224" s="18" t="s">
        <v>292</v>
      </c>
    </row>
    <row r="225" spans="1:1">
      <c r="A225" s="18" t="s">
        <v>293</v>
      </c>
    </row>
    <row r="226" spans="1:1">
      <c r="A226" s="18" t="s">
        <v>294</v>
      </c>
    </row>
    <row r="227" spans="1:1">
      <c r="A227" s="18" t="s">
        <v>295</v>
      </c>
    </row>
    <row r="228" spans="1:1">
      <c r="A228" s="18" t="s">
        <v>296</v>
      </c>
    </row>
    <row r="229" spans="1:1">
      <c r="A229" s="18" t="s">
        <v>297</v>
      </c>
    </row>
    <row r="230" spans="1:1">
      <c r="A230" s="18" t="s">
        <v>298</v>
      </c>
    </row>
    <row r="231" spans="1:1">
      <c r="A231" s="18" t="s">
        <v>299</v>
      </c>
    </row>
    <row r="232" spans="1:1">
      <c r="A232" s="18" t="s">
        <v>300</v>
      </c>
    </row>
    <row r="233" spans="1:1">
      <c r="A233" s="18" t="s">
        <v>301</v>
      </c>
    </row>
    <row r="234" spans="1:1">
      <c r="A234" s="18" t="s">
        <v>302</v>
      </c>
    </row>
    <row r="235" spans="1:1">
      <c r="A235" s="18" t="s">
        <v>303</v>
      </c>
    </row>
    <row r="236" spans="1:1">
      <c r="A236" s="18" t="s">
        <v>304</v>
      </c>
    </row>
    <row r="237" spans="1:1">
      <c r="A237" s="18" t="s">
        <v>305</v>
      </c>
    </row>
    <row r="238" spans="1:1">
      <c r="A238" s="18" t="s">
        <v>306</v>
      </c>
    </row>
    <row r="239" spans="1:1">
      <c r="A239" s="18" t="s">
        <v>307</v>
      </c>
    </row>
    <row r="240" spans="1:1">
      <c r="A240" s="18" t="s">
        <v>308</v>
      </c>
    </row>
    <row r="241" spans="1:1">
      <c r="A241" s="18" t="s">
        <v>309</v>
      </c>
    </row>
    <row r="242" spans="1:1">
      <c r="A242" s="18" t="s">
        <v>310</v>
      </c>
    </row>
    <row r="243" spans="1:1">
      <c r="A243" s="18" t="s">
        <v>311</v>
      </c>
    </row>
    <row r="244" spans="1:1">
      <c r="A244" s="18" t="s">
        <v>312</v>
      </c>
    </row>
    <row r="245" spans="1:1">
      <c r="A245" s="18" t="s">
        <v>313</v>
      </c>
    </row>
    <row r="246" spans="1:1">
      <c r="A246" s="18" t="s">
        <v>314</v>
      </c>
    </row>
    <row r="247" spans="1:1">
      <c r="A247" s="18" t="s">
        <v>315</v>
      </c>
    </row>
    <row r="248" spans="1:1">
      <c r="A248" s="18" t="s">
        <v>316</v>
      </c>
    </row>
    <row r="249" spans="1:1">
      <c r="A249" s="18" t="s">
        <v>317</v>
      </c>
    </row>
    <row r="250" spans="1:1">
      <c r="A250" s="18" t="s">
        <v>318</v>
      </c>
    </row>
    <row r="251" spans="1:1">
      <c r="A251" s="18" t="s">
        <v>319</v>
      </c>
    </row>
    <row r="252" spans="1:1">
      <c r="A252" s="18" t="s">
        <v>320</v>
      </c>
    </row>
    <row r="253" spans="1:1">
      <c r="A253" s="18" t="s">
        <v>321</v>
      </c>
    </row>
    <row r="254" spans="1:1">
      <c r="A254" s="18" t="s">
        <v>322</v>
      </c>
    </row>
    <row r="255" spans="1:1">
      <c r="A255" s="18" t="s">
        <v>323</v>
      </c>
    </row>
    <row r="256" spans="1:1">
      <c r="A256" s="18" t="s">
        <v>324</v>
      </c>
    </row>
    <row r="257" spans="1:1">
      <c r="A257" s="18" t="s">
        <v>325</v>
      </c>
    </row>
    <row r="258" spans="1:1">
      <c r="A258" s="18" t="s">
        <v>326</v>
      </c>
    </row>
    <row r="259" spans="1:1">
      <c r="A259" s="18" t="s">
        <v>327</v>
      </c>
    </row>
    <row r="260" spans="1:1">
      <c r="A260" s="18" t="s">
        <v>328</v>
      </c>
    </row>
    <row r="261" spans="1:1">
      <c r="A261" s="18" t="s">
        <v>329</v>
      </c>
    </row>
    <row r="262" spans="1:1">
      <c r="A262" s="18" t="s">
        <v>330</v>
      </c>
    </row>
    <row r="263" spans="1:1">
      <c r="A263" s="18" t="s">
        <v>331</v>
      </c>
    </row>
    <row r="264" spans="1:1">
      <c r="A264" s="18" t="s">
        <v>332</v>
      </c>
    </row>
    <row r="265" spans="1:1">
      <c r="A265" s="18" t="s">
        <v>333</v>
      </c>
    </row>
    <row r="266" spans="1:1">
      <c r="A266" s="18" t="s">
        <v>334</v>
      </c>
    </row>
    <row r="267" spans="1:1">
      <c r="A267" s="18" t="s">
        <v>335</v>
      </c>
    </row>
    <row r="268" spans="1:1">
      <c r="A268" s="18" t="s">
        <v>336</v>
      </c>
    </row>
    <row r="269" spans="1:1">
      <c r="A269" s="18" t="s">
        <v>337</v>
      </c>
    </row>
    <row r="270" spans="1:1">
      <c r="A270" s="18" t="s">
        <v>338</v>
      </c>
    </row>
    <row r="271" spans="1:1">
      <c r="A271" s="18" t="s">
        <v>339</v>
      </c>
    </row>
    <row r="272" spans="1:1">
      <c r="A272" s="18" t="s">
        <v>340</v>
      </c>
    </row>
    <row r="273" spans="1:1">
      <c r="A273" s="18" t="s">
        <v>341</v>
      </c>
    </row>
    <row r="274" spans="1:1">
      <c r="A274" s="18" t="s">
        <v>342</v>
      </c>
    </row>
    <row r="275" spans="1:1">
      <c r="A275" s="18" t="s">
        <v>343</v>
      </c>
    </row>
    <row r="276" spans="1:1">
      <c r="A276" s="18" t="s">
        <v>344</v>
      </c>
    </row>
    <row r="277" spans="1:1">
      <c r="A277" s="18" t="s">
        <v>345</v>
      </c>
    </row>
    <row r="278" spans="1:1">
      <c r="A278" s="18" t="s">
        <v>346</v>
      </c>
    </row>
    <row r="279" spans="1:1">
      <c r="A279" s="18" t="s">
        <v>347</v>
      </c>
    </row>
    <row r="280" spans="1:1">
      <c r="A280" s="18" t="s">
        <v>348</v>
      </c>
    </row>
    <row r="281" spans="1:1">
      <c r="A281" s="18" t="s">
        <v>349</v>
      </c>
    </row>
    <row r="282" spans="1:1">
      <c r="A282" s="18" t="s">
        <v>350</v>
      </c>
    </row>
    <row r="283" spans="1:1">
      <c r="A283" s="18" t="s">
        <v>351</v>
      </c>
    </row>
    <row r="284" spans="1:1">
      <c r="A284" s="18" t="s">
        <v>352</v>
      </c>
    </row>
    <row r="285" spans="1:1">
      <c r="A285" s="18" t="s">
        <v>353</v>
      </c>
    </row>
    <row r="286" spans="1:1">
      <c r="A286" s="18" t="s">
        <v>354</v>
      </c>
    </row>
    <row r="287" spans="1:1">
      <c r="A287" s="18" t="s">
        <v>355</v>
      </c>
    </row>
    <row r="288" spans="1:1">
      <c r="A288" s="18" t="s">
        <v>356</v>
      </c>
    </row>
    <row r="289" spans="1:1">
      <c r="A289" s="18" t="s">
        <v>357</v>
      </c>
    </row>
    <row r="290" spans="1:1">
      <c r="A290" s="18" t="s">
        <v>358</v>
      </c>
    </row>
    <row r="291" spans="1:1">
      <c r="A291" s="18" t="s">
        <v>359</v>
      </c>
    </row>
    <row r="292" spans="1:1">
      <c r="A292" s="18" t="s">
        <v>360</v>
      </c>
    </row>
    <row r="293" spans="1:1">
      <c r="A293" s="18" t="s">
        <v>361</v>
      </c>
    </row>
    <row r="294" spans="1:1">
      <c r="A294" s="18" t="s">
        <v>362</v>
      </c>
    </row>
    <row r="295" spans="1:1">
      <c r="A295" s="18" t="s">
        <v>363</v>
      </c>
    </row>
    <row r="296" spans="1:1">
      <c r="A296" s="18" t="s">
        <v>364</v>
      </c>
    </row>
    <row r="297" spans="1:1">
      <c r="A297" s="18" t="s">
        <v>365</v>
      </c>
    </row>
    <row r="298" spans="1:1">
      <c r="A298" s="18" t="s">
        <v>366</v>
      </c>
    </row>
    <row r="299" spans="1:1">
      <c r="A299" s="18" t="s">
        <v>367</v>
      </c>
    </row>
    <row r="300" spans="1:1">
      <c r="A300" s="18" t="s">
        <v>368</v>
      </c>
    </row>
    <row r="301" spans="1:1">
      <c r="A301" s="18" t="s">
        <v>369</v>
      </c>
    </row>
    <row r="302" spans="1:1">
      <c r="A302" s="18" t="s">
        <v>370</v>
      </c>
    </row>
    <row r="303" spans="1:1">
      <c r="A303" s="18" t="s">
        <v>371</v>
      </c>
    </row>
    <row r="304" spans="1:1">
      <c r="A304" s="18" t="s">
        <v>372</v>
      </c>
    </row>
    <row r="305" spans="1:1">
      <c r="A305" s="18" t="s">
        <v>373</v>
      </c>
    </row>
    <row r="306" spans="1:1">
      <c r="A306" s="18" t="s">
        <v>374</v>
      </c>
    </row>
    <row r="307" spans="1:1">
      <c r="A307" s="18" t="s">
        <v>375</v>
      </c>
    </row>
    <row r="308" spans="1:1">
      <c r="A308" s="18" t="s">
        <v>376</v>
      </c>
    </row>
    <row r="309" spans="1:1">
      <c r="A309" s="18" t="s">
        <v>377</v>
      </c>
    </row>
    <row r="310" spans="1:1">
      <c r="A310" s="18" t="s">
        <v>378</v>
      </c>
    </row>
    <row r="311" spans="1:1">
      <c r="A311" s="18" t="s">
        <v>379</v>
      </c>
    </row>
    <row r="312" spans="1:1">
      <c r="A312" s="18" t="s">
        <v>380</v>
      </c>
    </row>
    <row r="313" spans="1:1">
      <c r="A313" s="18" t="s">
        <v>0</v>
      </c>
    </row>
    <row r="314" spans="1:1">
      <c r="A314" s="18" t="s">
        <v>381</v>
      </c>
    </row>
    <row r="315" spans="1:1">
      <c r="A315" s="18" t="s">
        <v>382</v>
      </c>
    </row>
    <row r="316" spans="1:1">
      <c r="A316" s="18" t="s">
        <v>383</v>
      </c>
    </row>
    <row r="317" spans="1:1">
      <c r="A317" s="18" t="s">
        <v>384</v>
      </c>
    </row>
    <row r="318" spans="1:1">
      <c r="A318" s="18" t="s">
        <v>385</v>
      </c>
    </row>
    <row r="319" spans="1:1">
      <c r="A319" s="18" t="s">
        <v>386</v>
      </c>
    </row>
    <row r="320" spans="1:1">
      <c r="A320" s="18" t="s">
        <v>387</v>
      </c>
    </row>
    <row r="321" spans="1:1">
      <c r="A321" s="18" t="s">
        <v>388</v>
      </c>
    </row>
    <row r="322" spans="1:1">
      <c r="A322" s="18" t="s">
        <v>389</v>
      </c>
    </row>
    <row r="323" spans="1:1">
      <c r="A323" s="18" t="s">
        <v>390</v>
      </c>
    </row>
    <row r="324" spans="1:1">
      <c r="A324" s="18" t="s">
        <v>391</v>
      </c>
    </row>
    <row r="325" spans="1:1">
      <c r="A325" s="18" t="s">
        <v>392</v>
      </c>
    </row>
    <row r="326" spans="1:1">
      <c r="A326" s="18" t="s">
        <v>393</v>
      </c>
    </row>
    <row r="327" spans="1:1">
      <c r="A327" s="18" t="s">
        <v>394</v>
      </c>
    </row>
    <row r="328" spans="1:1">
      <c r="A328" s="18" t="s">
        <v>395</v>
      </c>
    </row>
    <row r="329" spans="1:1">
      <c r="A329" s="18" t="s">
        <v>396</v>
      </c>
    </row>
    <row r="330" spans="1:1">
      <c r="A330" s="18" t="s">
        <v>397</v>
      </c>
    </row>
    <row r="331" spans="1:1">
      <c r="A331" s="18" t="s">
        <v>398</v>
      </c>
    </row>
    <row r="332" spans="1:1">
      <c r="A332" s="18" t="s">
        <v>399</v>
      </c>
    </row>
    <row r="333" spans="1:1">
      <c r="A333" s="18" t="s">
        <v>400</v>
      </c>
    </row>
    <row r="334" spans="1:1">
      <c r="A334" s="18" t="s">
        <v>401</v>
      </c>
    </row>
    <row r="335" spans="1:1">
      <c r="A335" s="18" t="s">
        <v>402</v>
      </c>
    </row>
    <row r="336" spans="1:1">
      <c r="A336" s="18" t="s">
        <v>403</v>
      </c>
    </row>
    <row r="337" spans="1:1">
      <c r="A337" s="18" t="s">
        <v>404</v>
      </c>
    </row>
    <row r="338" spans="1:1">
      <c r="A338" s="18" t="s">
        <v>405</v>
      </c>
    </row>
    <row r="339" spans="1:1">
      <c r="A339" s="18" t="s">
        <v>406</v>
      </c>
    </row>
    <row r="340" spans="1:1">
      <c r="A340" s="18" t="s">
        <v>407</v>
      </c>
    </row>
    <row r="341" spans="1:1">
      <c r="A341" s="18" t="s">
        <v>408</v>
      </c>
    </row>
    <row r="342" spans="1:1">
      <c r="A342" s="18" t="s">
        <v>409</v>
      </c>
    </row>
    <row r="343" spans="1:1">
      <c r="A343" s="18" t="s">
        <v>410</v>
      </c>
    </row>
    <row r="344" spans="1:1">
      <c r="A344" s="18" t="s">
        <v>411</v>
      </c>
    </row>
    <row r="345" spans="1:1">
      <c r="A345" s="18" t="s">
        <v>412</v>
      </c>
    </row>
    <row r="346" spans="1:1">
      <c r="A346" s="18" t="s">
        <v>413</v>
      </c>
    </row>
    <row r="347" spans="1:1">
      <c r="A347" s="18" t="s">
        <v>414</v>
      </c>
    </row>
    <row r="348" spans="1:1">
      <c r="A348" s="18" t="s">
        <v>415</v>
      </c>
    </row>
    <row r="349" spans="1:1">
      <c r="A349" s="18" t="s">
        <v>416</v>
      </c>
    </row>
    <row r="350" spans="1:1">
      <c r="A350" s="18" t="s">
        <v>417</v>
      </c>
    </row>
    <row r="351" spans="1:1">
      <c r="A351" s="18" t="s">
        <v>418</v>
      </c>
    </row>
    <row r="352" spans="1:1">
      <c r="A352" s="18" t="s">
        <v>419</v>
      </c>
    </row>
    <row r="353" spans="1:1">
      <c r="A353" s="18" t="s">
        <v>420</v>
      </c>
    </row>
    <row r="354" spans="1:1">
      <c r="A354" s="18" t="s">
        <v>421</v>
      </c>
    </row>
    <row r="355" spans="1:1">
      <c r="A355" s="18" t="s">
        <v>422</v>
      </c>
    </row>
    <row r="356" spans="1:1">
      <c r="A356" s="18" t="s">
        <v>423</v>
      </c>
    </row>
    <row r="357" spans="1:1">
      <c r="A357" s="18" t="s">
        <v>424</v>
      </c>
    </row>
    <row r="358" spans="1:1">
      <c r="A358" s="18" t="s">
        <v>425</v>
      </c>
    </row>
    <row r="359" spans="1:1">
      <c r="A359" s="18" t="s">
        <v>426</v>
      </c>
    </row>
    <row r="360" spans="1:1">
      <c r="A360" s="18" t="s">
        <v>427</v>
      </c>
    </row>
    <row r="361" spans="1:1">
      <c r="A361" s="18" t="s">
        <v>428</v>
      </c>
    </row>
    <row r="362" spans="1:1">
      <c r="A362" s="18" t="s">
        <v>429</v>
      </c>
    </row>
    <row r="363" spans="1:1">
      <c r="A363" s="18" t="s">
        <v>430</v>
      </c>
    </row>
    <row r="364" spans="1:1">
      <c r="A364" s="18" t="s">
        <v>431</v>
      </c>
    </row>
    <row r="365" spans="1:1">
      <c r="A365" s="18" t="s">
        <v>432</v>
      </c>
    </row>
    <row r="366" spans="1:1">
      <c r="A366" s="18" t="s">
        <v>433</v>
      </c>
    </row>
    <row r="367" spans="1:1">
      <c r="A367" s="18" t="s">
        <v>434</v>
      </c>
    </row>
    <row r="368" spans="1:1">
      <c r="A368" s="18" t="s">
        <v>435</v>
      </c>
    </row>
    <row r="369" spans="1:1">
      <c r="A369" s="18" t="s">
        <v>436</v>
      </c>
    </row>
    <row r="370" spans="1:1">
      <c r="A370" s="18" t="s">
        <v>437</v>
      </c>
    </row>
    <row r="371" spans="1:1">
      <c r="A371" s="18" t="s">
        <v>438</v>
      </c>
    </row>
    <row r="372" spans="1:1">
      <c r="A372" s="18" t="s">
        <v>439</v>
      </c>
    </row>
    <row r="373" spans="1:1">
      <c r="A373" s="18" t="s">
        <v>440</v>
      </c>
    </row>
    <row r="374" spans="1:1">
      <c r="A374" s="18" t="s">
        <v>441</v>
      </c>
    </row>
    <row r="375" spans="1:1">
      <c r="A375" s="18" t="s">
        <v>442</v>
      </c>
    </row>
    <row r="376" spans="1:1">
      <c r="A376" s="18" t="s">
        <v>443</v>
      </c>
    </row>
    <row r="377" spans="1:1">
      <c r="A377" s="18" t="s">
        <v>444</v>
      </c>
    </row>
    <row r="378" spans="1:1">
      <c r="A378" s="18" t="s">
        <v>445</v>
      </c>
    </row>
    <row r="379" spans="1:1">
      <c r="A379" s="18" t="s">
        <v>446</v>
      </c>
    </row>
    <row r="380" spans="1:1">
      <c r="A380" s="18" t="s">
        <v>447</v>
      </c>
    </row>
    <row r="381" spans="1:1">
      <c r="A381" s="18" t="s">
        <v>448</v>
      </c>
    </row>
    <row r="382" spans="1:1">
      <c r="A382" s="18" t="s">
        <v>449</v>
      </c>
    </row>
    <row r="383" spans="1:1">
      <c r="A383" s="18" t="s">
        <v>450</v>
      </c>
    </row>
    <row r="384" spans="1:1">
      <c r="A384" s="18" t="s">
        <v>451</v>
      </c>
    </row>
    <row r="385" spans="1:1">
      <c r="A385" s="18" t="s">
        <v>452</v>
      </c>
    </row>
    <row r="386" spans="1:1">
      <c r="A386" s="18" t="s">
        <v>453</v>
      </c>
    </row>
    <row r="387" spans="1:1">
      <c r="A387" s="18" t="s">
        <v>454</v>
      </c>
    </row>
    <row r="388" spans="1:1">
      <c r="A388" s="18" t="s">
        <v>455</v>
      </c>
    </row>
    <row r="389" spans="1:1">
      <c r="A389" s="18" t="s">
        <v>456</v>
      </c>
    </row>
    <row r="390" spans="1:1">
      <c r="A390" s="18" t="s">
        <v>457</v>
      </c>
    </row>
    <row r="391" spans="1:1">
      <c r="A391" s="18" t="s">
        <v>458</v>
      </c>
    </row>
    <row r="392" spans="1:1">
      <c r="A392" s="18" t="s">
        <v>459</v>
      </c>
    </row>
    <row r="393" spans="1:1">
      <c r="A393" s="18" t="s">
        <v>460</v>
      </c>
    </row>
    <row r="394" spans="1:1">
      <c r="A394" s="18" t="s">
        <v>461</v>
      </c>
    </row>
    <row r="395" spans="1:1">
      <c r="A395" s="18" t="s">
        <v>462</v>
      </c>
    </row>
    <row r="396" spans="1:1">
      <c r="A396" s="18" t="s">
        <v>463</v>
      </c>
    </row>
    <row r="397" spans="1:1">
      <c r="A397" s="18" t="s">
        <v>464</v>
      </c>
    </row>
    <row r="398" spans="1:1">
      <c r="A398" s="18" t="s">
        <v>465</v>
      </c>
    </row>
    <row r="399" spans="1:1">
      <c r="A399" s="18" t="s">
        <v>466</v>
      </c>
    </row>
    <row r="400" spans="1:1">
      <c r="A400" s="18" t="s">
        <v>467</v>
      </c>
    </row>
    <row r="401" spans="1:1">
      <c r="A401" s="18" t="s">
        <v>468</v>
      </c>
    </row>
    <row r="402" spans="1:1">
      <c r="A402" s="18" t="s">
        <v>469</v>
      </c>
    </row>
    <row r="403" spans="1:1">
      <c r="A403" s="18" t="s">
        <v>470</v>
      </c>
    </row>
    <row r="404" spans="1:1">
      <c r="A404" s="18" t="s">
        <v>471</v>
      </c>
    </row>
    <row r="405" spans="1:1">
      <c r="A405" s="18" t="s">
        <v>472</v>
      </c>
    </row>
    <row r="406" spans="1:1">
      <c r="A406" s="18" t="s">
        <v>473</v>
      </c>
    </row>
    <row r="407" spans="1:1">
      <c r="A407" s="18" t="s">
        <v>474</v>
      </c>
    </row>
    <row r="408" spans="1:1">
      <c r="A408" s="18" t="s">
        <v>475</v>
      </c>
    </row>
    <row r="409" spans="1:1">
      <c r="A409" s="18" t="s">
        <v>476</v>
      </c>
    </row>
    <row r="410" spans="1:1">
      <c r="A410" s="18" t="s">
        <v>477</v>
      </c>
    </row>
    <row r="411" spans="1:1">
      <c r="A411" s="18" t="s">
        <v>478</v>
      </c>
    </row>
    <row r="412" spans="1:1">
      <c r="A412" s="18" t="s">
        <v>479</v>
      </c>
    </row>
    <row r="413" spans="1:1">
      <c r="A413" s="18" t="s">
        <v>480</v>
      </c>
    </row>
    <row r="414" spans="1:1">
      <c r="A414" s="18" t="s">
        <v>481</v>
      </c>
    </row>
    <row r="415" spans="1:1">
      <c r="A415" s="18" t="s">
        <v>482</v>
      </c>
    </row>
    <row r="416" spans="1:1">
      <c r="A416" s="18" t="s">
        <v>483</v>
      </c>
    </row>
    <row r="417" spans="1:1">
      <c r="A417" s="18" t="s">
        <v>484</v>
      </c>
    </row>
    <row r="418" spans="1:1">
      <c r="A418" s="18" t="s">
        <v>485</v>
      </c>
    </row>
    <row r="419" spans="1:1">
      <c r="A419" s="18" t="s">
        <v>486</v>
      </c>
    </row>
    <row r="420" spans="1:1">
      <c r="A420" s="18" t="s">
        <v>487</v>
      </c>
    </row>
    <row r="421" spans="1:1">
      <c r="A421" s="18" t="s">
        <v>488</v>
      </c>
    </row>
    <row r="422" spans="1:1">
      <c r="A422" s="18" t="s">
        <v>489</v>
      </c>
    </row>
    <row r="423" spans="1:1">
      <c r="A423" s="18" t="s">
        <v>490</v>
      </c>
    </row>
    <row r="424" spans="1:1">
      <c r="A424" s="18" t="s">
        <v>491</v>
      </c>
    </row>
    <row r="425" spans="1:1">
      <c r="A425" s="18" t="s">
        <v>492</v>
      </c>
    </row>
    <row r="426" spans="1:1">
      <c r="A426" s="18" t="s">
        <v>493</v>
      </c>
    </row>
    <row r="427" spans="1:1">
      <c r="A427" s="18" t="s">
        <v>494</v>
      </c>
    </row>
    <row r="428" spans="1:1">
      <c r="A428" s="18" t="s">
        <v>495</v>
      </c>
    </row>
    <row r="429" spans="1:1">
      <c r="A429" s="18" t="s">
        <v>496</v>
      </c>
    </row>
    <row r="430" spans="1:1">
      <c r="A430" s="18" t="s">
        <v>497</v>
      </c>
    </row>
    <row r="431" spans="1:1">
      <c r="A431" s="18" t="s">
        <v>498</v>
      </c>
    </row>
    <row r="432" spans="1:1">
      <c r="A432" s="18" t="s">
        <v>499</v>
      </c>
    </row>
    <row r="433" spans="1:1">
      <c r="A433" s="18" t="s">
        <v>500</v>
      </c>
    </row>
    <row r="434" spans="1:1">
      <c r="A434" s="18" t="s">
        <v>501</v>
      </c>
    </row>
    <row r="435" spans="1:1">
      <c r="A435" s="18" t="s">
        <v>502</v>
      </c>
    </row>
    <row r="436" spans="1:1">
      <c r="A436" s="18" t="s">
        <v>503</v>
      </c>
    </row>
    <row r="437" spans="1:1">
      <c r="A437" s="18" t="s">
        <v>504</v>
      </c>
    </row>
    <row r="438" spans="1:1">
      <c r="A438" s="18" t="s">
        <v>505</v>
      </c>
    </row>
    <row r="439" spans="1:1">
      <c r="A439" s="18" t="s">
        <v>506</v>
      </c>
    </row>
    <row r="440" spans="1:1">
      <c r="A440" s="18" t="s">
        <v>507</v>
      </c>
    </row>
    <row r="441" spans="1:1">
      <c r="A441" s="18" t="s">
        <v>508</v>
      </c>
    </row>
    <row r="442" spans="1:1">
      <c r="A442" s="18" t="s">
        <v>509</v>
      </c>
    </row>
    <row r="443" spans="1:1">
      <c r="A443" s="18" t="s">
        <v>510</v>
      </c>
    </row>
    <row r="444" spans="1:1">
      <c r="A444" s="18" t="s">
        <v>511</v>
      </c>
    </row>
    <row r="445" spans="1:1">
      <c r="A445" s="18" t="s">
        <v>512</v>
      </c>
    </row>
    <row r="446" spans="1:1">
      <c r="A446" s="18" t="s">
        <v>513</v>
      </c>
    </row>
    <row r="447" spans="1:1">
      <c r="A447" s="18" t="s">
        <v>514</v>
      </c>
    </row>
    <row r="448" spans="1:1">
      <c r="A448" s="18" t="s">
        <v>515</v>
      </c>
    </row>
    <row r="449" spans="1:1">
      <c r="A449" s="18" t="s">
        <v>516</v>
      </c>
    </row>
    <row r="450" spans="1:1">
      <c r="A450" s="18" t="s">
        <v>517</v>
      </c>
    </row>
    <row r="451" spans="1:1">
      <c r="A451" s="18" t="s">
        <v>518</v>
      </c>
    </row>
    <row r="452" spans="1:1">
      <c r="A452" s="18" t="s">
        <v>519</v>
      </c>
    </row>
    <row r="453" spans="1:1">
      <c r="A453" s="18" t="s">
        <v>520</v>
      </c>
    </row>
    <row r="454" spans="1:1">
      <c r="A454" s="18" t="s">
        <v>521</v>
      </c>
    </row>
    <row r="455" spans="1:1">
      <c r="A455" s="18" t="s">
        <v>522</v>
      </c>
    </row>
    <row r="456" spans="1:1">
      <c r="A456" s="18" t="s">
        <v>523</v>
      </c>
    </row>
    <row r="457" spans="1:1">
      <c r="A457" s="18" t="s">
        <v>524</v>
      </c>
    </row>
    <row r="458" spans="1:1">
      <c r="A458" s="18" t="s">
        <v>525</v>
      </c>
    </row>
    <row r="459" spans="1:1">
      <c r="A459" s="18" t="s">
        <v>526</v>
      </c>
    </row>
    <row r="460" spans="1:1">
      <c r="A460" s="18" t="s">
        <v>527</v>
      </c>
    </row>
    <row r="461" spans="1:1">
      <c r="A461" s="18" t="s">
        <v>528</v>
      </c>
    </row>
    <row r="462" spans="1:1">
      <c r="A462" s="18" t="s">
        <v>529</v>
      </c>
    </row>
    <row r="463" spans="1:1">
      <c r="A463" s="18" t="s">
        <v>530</v>
      </c>
    </row>
    <row r="464" spans="1:1">
      <c r="A464" s="18" t="s">
        <v>531</v>
      </c>
    </row>
    <row r="465" spans="1:1">
      <c r="A465" s="18" t="s">
        <v>532</v>
      </c>
    </row>
    <row r="466" spans="1:1">
      <c r="A466" s="18" t="s">
        <v>533</v>
      </c>
    </row>
    <row r="467" spans="1:1">
      <c r="A467" s="18" t="s">
        <v>534</v>
      </c>
    </row>
    <row r="468" spans="1:1">
      <c r="A468" s="18" t="s">
        <v>535</v>
      </c>
    </row>
    <row r="469" spans="1:1">
      <c r="A469" s="18" t="s">
        <v>536</v>
      </c>
    </row>
    <row r="470" spans="1:1">
      <c r="A470" s="18" t="s">
        <v>537</v>
      </c>
    </row>
    <row r="471" spans="1:1">
      <c r="A471" s="18" t="s">
        <v>538</v>
      </c>
    </row>
    <row r="472" spans="1:1">
      <c r="A472" s="18" t="s">
        <v>539</v>
      </c>
    </row>
    <row r="473" spans="1:1">
      <c r="A473" s="18" t="s">
        <v>540</v>
      </c>
    </row>
    <row r="474" spans="1:1">
      <c r="A474" s="18" t="s">
        <v>541</v>
      </c>
    </row>
    <row r="475" spans="1:1">
      <c r="A475" s="18" t="s">
        <v>542</v>
      </c>
    </row>
    <row r="476" spans="1:1">
      <c r="A476" s="18" t="s">
        <v>543</v>
      </c>
    </row>
    <row r="477" spans="1:1">
      <c r="A477" s="18" t="s">
        <v>544</v>
      </c>
    </row>
    <row r="478" spans="1:1">
      <c r="A478" s="18" t="s">
        <v>545</v>
      </c>
    </row>
    <row r="479" spans="1:1">
      <c r="A479" s="18" t="s">
        <v>546</v>
      </c>
    </row>
    <row r="480" spans="1:1">
      <c r="A480" s="18" t="s">
        <v>547</v>
      </c>
    </row>
    <row r="481" spans="1:1">
      <c r="A481" s="18" t="s">
        <v>548</v>
      </c>
    </row>
    <row r="482" spans="1:1">
      <c r="A482" s="18" t="s">
        <v>549</v>
      </c>
    </row>
    <row r="483" spans="1:1">
      <c r="A483" s="18" t="s">
        <v>550</v>
      </c>
    </row>
    <row r="484" spans="1:1">
      <c r="A484" s="18" t="s">
        <v>551</v>
      </c>
    </row>
    <row r="485" spans="1:1">
      <c r="A485" s="18" t="s">
        <v>552</v>
      </c>
    </row>
    <row r="486" spans="1:1">
      <c r="A486" s="18" t="s">
        <v>553</v>
      </c>
    </row>
    <row r="487" spans="1:1">
      <c r="A487" s="18" t="s">
        <v>554</v>
      </c>
    </row>
    <row r="488" spans="1:1">
      <c r="A488" s="18" t="s">
        <v>555</v>
      </c>
    </row>
    <row r="489" spans="1:1">
      <c r="A489" s="18" t="s">
        <v>556</v>
      </c>
    </row>
    <row r="490" spans="1:1">
      <c r="A490" s="18" t="s">
        <v>557</v>
      </c>
    </row>
    <row r="491" spans="1:1">
      <c r="A491" s="18" t="s">
        <v>558</v>
      </c>
    </row>
    <row r="492" spans="1:1">
      <c r="A492" s="18" t="s">
        <v>559</v>
      </c>
    </row>
    <row r="493" spans="1:1">
      <c r="A493" s="18" t="s">
        <v>560</v>
      </c>
    </row>
    <row r="494" spans="1:1">
      <c r="A494" s="18" t="s">
        <v>561</v>
      </c>
    </row>
    <row r="495" spans="1:1">
      <c r="A495" s="18" t="s">
        <v>562</v>
      </c>
    </row>
    <row r="496" spans="1:1">
      <c r="A496" s="18" t="s">
        <v>563</v>
      </c>
    </row>
    <row r="497" spans="1:1">
      <c r="A497" s="18" t="s">
        <v>564</v>
      </c>
    </row>
    <row r="498" spans="1:1">
      <c r="A498" s="18" t="s">
        <v>565</v>
      </c>
    </row>
    <row r="499" spans="1:1">
      <c r="A499" s="18" t="s">
        <v>566</v>
      </c>
    </row>
    <row r="500" spans="1:1">
      <c r="A500" s="18" t="s">
        <v>567</v>
      </c>
    </row>
    <row r="501" spans="1:1">
      <c r="A501" s="18" t="s">
        <v>568</v>
      </c>
    </row>
    <row r="502" spans="1:1">
      <c r="A502" s="18" t="s">
        <v>569</v>
      </c>
    </row>
    <row r="503" spans="1:1">
      <c r="A503" s="18" t="s">
        <v>570</v>
      </c>
    </row>
    <row r="504" spans="1:1">
      <c r="A504" s="18" t="s">
        <v>571</v>
      </c>
    </row>
    <row r="505" spans="1:1">
      <c r="A505" s="18" t="s">
        <v>572</v>
      </c>
    </row>
    <row r="506" spans="1:1">
      <c r="A506" s="18" t="s">
        <v>573</v>
      </c>
    </row>
    <row r="507" spans="1:1">
      <c r="A507" s="18" t="s">
        <v>574</v>
      </c>
    </row>
    <row r="508" spans="1:1">
      <c r="A508" s="18" t="s">
        <v>575</v>
      </c>
    </row>
    <row r="509" spans="1:1">
      <c r="A509" s="18" t="s">
        <v>576</v>
      </c>
    </row>
    <row r="510" spans="1:1">
      <c r="A510" s="18" t="s">
        <v>577</v>
      </c>
    </row>
    <row r="511" spans="1:1">
      <c r="A511" s="18" t="s">
        <v>578</v>
      </c>
    </row>
    <row r="512" spans="1:1">
      <c r="A512" s="18" t="s">
        <v>579</v>
      </c>
    </row>
    <row r="513" spans="1:1">
      <c r="A513" s="18" t="s">
        <v>580</v>
      </c>
    </row>
    <row r="514" spans="1:1">
      <c r="A514" s="18" t="s">
        <v>581</v>
      </c>
    </row>
    <row r="515" spans="1:1">
      <c r="A515" s="18" t="s">
        <v>582</v>
      </c>
    </row>
    <row r="516" spans="1:1">
      <c r="A516" s="18" t="s">
        <v>583</v>
      </c>
    </row>
    <row r="517" spans="1:1">
      <c r="A517" s="18" t="s">
        <v>584</v>
      </c>
    </row>
    <row r="518" spans="1:1">
      <c r="A518" s="18" t="s">
        <v>585</v>
      </c>
    </row>
    <row r="519" spans="1:1">
      <c r="A519" s="18" t="s">
        <v>586</v>
      </c>
    </row>
    <row r="520" spans="1:1">
      <c r="A520" s="18" t="s">
        <v>587</v>
      </c>
    </row>
    <row r="521" spans="1:1">
      <c r="A521" s="18" t="s">
        <v>588</v>
      </c>
    </row>
    <row r="522" spans="1:1">
      <c r="A522" s="18" t="s">
        <v>589</v>
      </c>
    </row>
    <row r="523" spans="1:1">
      <c r="A523" s="18" t="s">
        <v>590</v>
      </c>
    </row>
    <row r="524" spans="1:1">
      <c r="A524" s="18" t="s">
        <v>591</v>
      </c>
    </row>
    <row r="525" spans="1:1">
      <c r="A525" s="18" t="s">
        <v>592</v>
      </c>
    </row>
    <row r="526" spans="1:1">
      <c r="A526" s="18" t="s">
        <v>593</v>
      </c>
    </row>
    <row r="527" spans="1:1">
      <c r="A527" s="18" t="s">
        <v>594</v>
      </c>
    </row>
    <row r="528" spans="1:1">
      <c r="A528" s="18" t="s">
        <v>595</v>
      </c>
    </row>
    <row r="529" spans="1:1">
      <c r="A529" s="18" t="s">
        <v>596</v>
      </c>
    </row>
    <row r="530" spans="1:1">
      <c r="A530" s="18" t="s">
        <v>597</v>
      </c>
    </row>
    <row r="531" spans="1:1">
      <c r="A531" s="18" t="s">
        <v>598</v>
      </c>
    </row>
    <row r="532" spans="1:1">
      <c r="A532" s="18" t="s">
        <v>599</v>
      </c>
    </row>
    <row r="533" spans="1:1">
      <c r="A533" s="18" t="s">
        <v>600</v>
      </c>
    </row>
    <row r="534" spans="1:1">
      <c r="A534" s="18" t="s">
        <v>601</v>
      </c>
    </row>
    <row r="535" spans="1:1">
      <c r="A535" s="18" t="s">
        <v>602</v>
      </c>
    </row>
    <row r="536" spans="1:1">
      <c r="A536" s="18" t="s">
        <v>603</v>
      </c>
    </row>
    <row r="537" spans="1:1">
      <c r="A537" s="18" t="s">
        <v>604</v>
      </c>
    </row>
    <row r="538" spans="1:1">
      <c r="A538" s="18" t="s">
        <v>605</v>
      </c>
    </row>
    <row r="539" spans="1:1">
      <c r="A539" s="18" t="s">
        <v>606</v>
      </c>
    </row>
    <row r="540" spans="1:1">
      <c r="A540" s="18" t="s">
        <v>607</v>
      </c>
    </row>
    <row r="541" spans="1:1">
      <c r="A541" s="18" t="s">
        <v>608</v>
      </c>
    </row>
    <row r="542" spans="1:1">
      <c r="A542" s="18" t="s">
        <v>609</v>
      </c>
    </row>
    <row r="543" spans="1:1">
      <c r="A543" s="18" t="s">
        <v>610</v>
      </c>
    </row>
    <row r="544" spans="1:1">
      <c r="A544" s="18" t="s">
        <v>611</v>
      </c>
    </row>
    <row r="545" spans="1:1">
      <c r="A545" s="18" t="s">
        <v>612</v>
      </c>
    </row>
    <row r="546" spans="1:1">
      <c r="A546" s="18" t="s">
        <v>612</v>
      </c>
    </row>
    <row r="547" spans="1:1">
      <c r="A547" s="18" t="s">
        <v>613</v>
      </c>
    </row>
    <row r="548" spans="1:1">
      <c r="A548" s="18" t="s">
        <v>614</v>
      </c>
    </row>
    <row r="549" spans="1:1">
      <c r="A549" s="18" t="s">
        <v>615</v>
      </c>
    </row>
    <row r="550" spans="1:1">
      <c r="A550" s="18" t="s">
        <v>616</v>
      </c>
    </row>
    <row r="551" spans="1:1">
      <c r="A551" s="18" t="s">
        <v>617</v>
      </c>
    </row>
    <row r="552" spans="1:1">
      <c r="A552" s="18" t="s">
        <v>618</v>
      </c>
    </row>
    <row r="553" spans="1:1">
      <c r="A553" s="18" t="s">
        <v>619</v>
      </c>
    </row>
    <row r="554" spans="1:1">
      <c r="A554" s="18" t="s">
        <v>620</v>
      </c>
    </row>
    <row r="555" spans="1:1">
      <c r="A555" s="18" t="s">
        <v>621</v>
      </c>
    </row>
    <row r="556" spans="1:1">
      <c r="A556" s="18" t="s">
        <v>622</v>
      </c>
    </row>
    <row r="557" spans="1:1">
      <c r="A557" s="18" t="s">
        <v>623</v>
      </c>
    </row>
    <row r="558" spans="1:1">
      <c r="A558" s="18" t="s">
        <v>624</v>
      </c>
    </row>
    <row r="559" spans="1:1">
      <c r="A559" s="18" t="s">
        <v>625</v>
      </c>
    </row>
    <row r="560" spans="1:1">
      <c r="A560" s="18" t="s">
        <v>626</v>
      </c>
    </row>
    <row r="561" spans="1:1">
      <c r="A561" s="18" t="s">
        <v>627</v>
      </c>
    </row>
    <row r="562" spans="1:1">
      <c r="A562" s="18" t="s">
        <v>628</v>
      </c>
    </row>
    <row r="563" spans="1:1">
      <c r="A563" s="18" t="s">
        <v>629</v>
      </c>
    </row>
    <row r="564" spans="1:1">
      <c r="A564" s="18" t="s">
        <v>630</v>
      </c>
    </row>
    <row r="565" spans="1:1">
      <c r="A565" s="18" t="s">
        <v>631</v>
      </c>
    </row>
    <row r="566" spans="1:1">
      <c r="A566" s="18" t="s">
        <v>632</v>
      </c>
    </row>
    <row r="567" spans="1:1">
      <c r="A567" s="18" t="s">
        <v>633</v>
      </c>
    </row>
    <row r="568" spans="1:1">
      <c r="A568" s="18" t="s">
        <v>634</v>
      </c>
    </row>
    <row r="569" spans="1:1">
      <c r="A569" s="18" t="s">
        <v>635</v>
      </c>
    </row>
    <row r="570" spans="1:1">
      <c r="A570" s="18" t="s">
        <v>636</v>
      </c>
    </row>
    <row r="571" spans="1:1">
      <c r="A571" s="18" t="s">
        <v>637</v>
      </c>
    </row>
    <row r="572" spans="1:1">
      <c r="A572" s="18" t="s">
        <v>638</v>
      </c>
    </row>
    <row r="573" spans="1:1">
      <c r="A573" s="18" t="s">
        <v>639</v>
      </c>
    </row>
    <row r="574" spans="1:1">
      <c r="A574" s="18" t="s">
        <v>640</v>
      </c>
    </row>
    <row r="575" spans="1:1">
      <c r="A575" s="18" t="s">
        <v>641</v>
      </c>
    </row>
    <row r="576" spans="1:1">
      <c r="A576" s="18" t="s">
        <v>642</v>
      </c>
    </row>
    <row r="577" spans="1:1">
      <c r="A577" s="18" t="s">
        <v>643</v>
      </c>
    </row>
    <row r="578" spans="1:1">
      <c r="A578" s="18" t="s">
        <v>644</v>
      </c>
    </row>
    <row r="579" spans="1:1">
      <c r="A579" s="18" t="s">
        <v>645</v>
      </c>
    </row>
    <row r="580" spans="1:1">
      <c r="A580" s="18" t="s">
        <v>646</v>
      </c>
    </row>
    <row r="581" spans="1:1">
      <c r="A581" s="18" t="s">
        <v>647</v>
      </c>
    </row>
    <row r="582" spans="1:1">
      <c r="A582" s="18" t="s">
        <v>648</v>
      </c>
    </row>
    <row r="583" spans="1:1">
      <c r="A583" s="18" t="s">
        <v>649</v>
      </c>
    </row>
    <row r="584" spans="1:1">
      <c r="A584" s="18" t="s">
        <v>650</v>
      </c>
    </row>
    <row r="585" spans="1:1">
      <c r="A585" s="18" t="s">
        <v>651</v>
      </c>
    </row>
    <row r="586" spans="1:1">
      <c r="A586" s="18" t="s">
        <v>652</v>
      </c>
    </row>
    <row r="587" spans="1:1">
      <c r="A587" s="18" t="s">
        <v>653</v>
      </c>
    </row>
    <row r="588" spans="1:1">
      <c r="A588" s="18" t="s">
        <v>654</v>
      </c>
    </row>
    <row r="589" spans="1:1">
      <c r="A589" s="18" t="s">
        <v>655</v>
      </c>
    </row>
    <row r="590" spans="1:1">
      <c r="A590" s="18" t="s">
        <v>656</v>
      </c>
    </row>
    <row r="591" spans="1:1">
      <c r="A591" s="18" t="s">
        <v>657</v>
      </c>
    </row>
    <row r="592" spans="1:1">
      <c r="A592" s="18" t="s">
        <v>658</v>
      </c>
    </row>
    <row r="593" spans="1:1">
      <c r="A593" s="18" t="s">
        <v>659</v>
      </c>
    </row>
    <row r="594" spans="1:1">
      <c r="A594" s="18" t="s">
        <v>660</v>
      </c>
    </row>
    <row r="595" spans="1:1">
      <c r="A595" s="18" t="s">
        <v>661</v>
      </c>
    </row>
    <row r="596" spans="1:1">
      <c r="A596" s="18" t="s">
        <v>662</v>
      </c>
    </row>
    <row r="597" spans="1:1">
      <c r="A597" s="18" t="s">
        <v>663</v>
      </c>
    </row>
    <row r="598" spans="1:1">
      <c r="A598" s="18" t="s">
        <v>664</v>
      </c>
    </row>
    <row r="599" spans="1:1">
      <c r="A599" s="18" t="s">
        <v>665</v>
      </c>
    </row>
    <row r="600" spans="1:1">
      <c r="A600" s="18" t="s">
        <v>666</v>
      </c>
    </row>
    <row r="601" spans="1:1">
      <c r="A601" s="18" t="s">
        <v>667</v>
      </c>
    </row>
    <row r="602" spans="1:1">
      <c r="A602" s="18" t="s">
        <v>668</v>
      </c>
    </row>
    <row r="603" spans="1:1">
      <c r="A603" s="18" t="s">
        <v>669</v>
      </c>
    </row>
    <row r="604" spans="1:1">
      <c r="A604" s="18" t="s">
        <v>670</v>
      </c>
    </row>
    <row r="605" spans="1:1">
      <c r="A605" s="18" t="s">
        <v>671</v>
      </c>
    </row>
    <row r="606" spans="1:1">
      <c r="A606" s="18" t="s">
        <v>672</v>
      </c>
    </row>
    <row r="607" spans="1:1">
      <c r="A607" s="18" t="s">
        <v>673</v>
      </c>
    </row>
    <row r="608" spans="1:1">
      <c r="A608" s="18" t="s">
        <v>674</v>
      </c>
    </row>
    <row r="609" spans="1:1">
      <c r="A609" s="18" t="s">
        <v>675</v>
      </c>
    </row>
    <row r="610" spans="1:1">
      <c r="A610" s="18" t="s">
        <v>676</v>
      </c>
    </row>
    <row r="611" spans="1:1">
      <c r="A611" s="18" t="s">
        <v>677</v>
      </c>
    </row>
    <row r="612" spans="1:1">
      <c r="A612" s="18" t="s">
        <v>678</v>
      </c>
    </row>
    <row r="613" spans="1:1">
      <c r="A613" s="18" t="s">
        <v>679</v>
      </c>
    </row>
    <row r="614" spans="1:1">
      <c r="A614" s="18" t="s">
        <v>680</v>
      </c>
    </row>
    <row r="615" spans="1:1">
      <c r="A615" s="18" t="s">
        <v>681</v>
      </c>
    </row>
    <row r="616" spans="1:1">
      <c r="A616" s="18" t="s">
        <v>682</v>
      </c>
    </row>
    <row r="617" spans="1:1">
      <c r="A617" s="18" t="s">
        <v>683</v>
      </c>
    </row>
    <row r="618" spans="1:1">
      <c r="A618" s="18" t="s">
        <v>684</v>
      </c>
    </row>
    <row r="619" spans="1:1">
      <c r="A619" s="18" t="s">
        <v>685</v>
      </c>
    </row>
    <row r="620" spans="1:1">
      <c r="A620" s="18" t="s">
        <v>686</v>
      </c>
    </row>
    <row r="621" spans="1:1">
      <c r="A621" s="18" t="s">
        <v>687</v>
      </c>
    </row>
    <row r="622" spans="1:1">
      <c r="A622" s="18" t="s">
        <v>688</v>
      </c>
    </row>
    <row r="623" spans="1:1">
      <c r="A623" s="18" t="s">
        <v>689</v>
      </c>
    </row>
    <row r="624" spans="1:1">
      <c r="A624" s="18" t="s">
        <v>690</v>
      </c>
    </row>
    <row r="625" spans="1:1">
      <c r="A625" s="18" t="s">
        <v>691</v>
      </c>
    </row>
    <row r="626" spans="1:1">
      <c r="A626" s="18" t="s">
        <v>692</v>
      </c>
    </row>
    <row r="627" spans="1:1">
      <c r="A627" s="18" t="s">
        <v>693</v>
      </c>
    </row>
    <row r="628" spans="1:1">
      <c r="A628" s="18" t="s">
        <v>694</v>
      </c>
    </row>
    <row r="629" spans="1:1">
      <c r="A629" s="18" t="s">
        <v>695</v>
      </c>
    </row>
    <row r="630" spans="1:1">
      <c r="A630" s="18" t="s">
        <v>696</v>
      </c>
    </row>
    <row r="631" spans="1:1">
      <c r="A631" s="18" t="s">
        <v>697</v>
      </c>
    </row>
    <row r="632" spans="1:1">
      <c r="A632" s="18" t="s">
        <v>698</v>
      </c>
    </row>
    <row r="633" spans="1:1">
      <c r="A633" s="18" t="s">
        <v>699</v>
      </c>
    </row>
    <row r="634" spans="1:1">
      <c r="A634" s="18" t="s">
        <v>700</v>
      </c>
    </row>
    <row r="635" spans="1:1">
      <c r="A635" s="18" t="s">
        <v>701</v>
      </c>
    </row>
    <row r="636" spans="1:1">
      <c r="A636" s="18" t="s">
        <v>702</v>
      </c>
    </row>
    <row r="637" spans="1:1">
      <c r="A637" s="18" t="s">
        <v>703</v>
      </c>
    </row>
    <row r="638" spans="1:1">
      <c r="A638" s="18" t="s">
        <v>704</v>
      </c>
    </row>
    <row r="639" spans="1:1">
      <c r="A639" s="18" t="s">
        <v>705</v>
      </c>
    </row>
    <row r="640" spans="1:1">
      <c r="A640" s="18" t="s">
        <v>706</v>
      </c>
    </row>
    <row r="641" spans="1:1">
      <c r="A641" s="18" t="s">
        <v>707</v>
      </c>
    </row>
    <row r="642" spans="1:1">
      <c r="A642" s="18" t="s">
        <v>708</v>
      </c>
    </row>
    <row r="643" spans="1:1">
      <c r="A643" s="18" t="s">
        <v>709</v>
      </c>
    </row>
    <row r="644" spans="1:1">
      <c r="A644" s="18" t="s">
        <v>710</v>
      </c>
    </row>
    <row r="645" spans="1:1">
      <c r="A645" s="18" t="s">
        <v>711</v>
      </c>
    </row>
    <row r="646" spans="1:1">
      <c r="A646" s="18" t="s">
        <v>712</v>
      </c>
    </row>
    <row r="647" spans="1:1">
      <c r="A647" s="18" t="s">
        <v>713</v>
      </c>
    </row>
    <row r="648" spans="1:1">
      <c r="A648" s="18" t="s">
        <v>714</v>
      </c>
    </row>
    <row r="649" spans="1:1">
      <c r="A649" s="18" t="s">
        <v>715</v>
      </c>
    </row>
    <row r="650" spans="1:1">
      <c r="A650" s="18" t="s">
        <v>716</v>
      </c>
    </row>
    <row r="651" spans="1:1">
      <c r="A651" s="18" t="s">
        <v>717</v>
      </c>
    </row>
    <row r="652" spans="1:1">
      <c r="A652" s="18" t="s">
        <v>718</v>
      </c>
    </row>
    <row r="653" spans="1:1">
      <c r="A653" s="18" t="s">
        <v>719</v>
      </c>
    </row>
    <row r="654" spans="1:1">
      <c r="A654" s="18" t="s">
        <v>720</v>
      </c>
    </row>
    <row r="655" spans="1:1">
      <c r="A655" s="18" t="s">
        <v>721</v>
      </c>
    </row>
    <row r="656" spans="1:1">
      <c r="A656" s="18" t="s">
        <v>722</v>
      </c>
    </row>
    <row r="657" spans="1:1">
      <c r="A657" s="18" t="s">
        <v>723</v>
      </c>
    </row>
    <row r="658" spans="1:1">
      <c r="A658" s="18" t="s">
        <v>724</v>
      </c>
    </row>
    <row r="659" spans="1:1">
      <c r="A659" s="18" t="s">
        <v>725</v>
      </c>
    </row>
    <row r="660" spans="1:1">
      <c r="A660" s="18" t="s">
        <v>726</v>
      </c>
    </row>
    <row r="661" spans="1:1">
      <c r="A661" s="18" t="s">
        <v>727</v>
      </c>
    </row>
    <row r="662" spans="1:1">
      <c r="A662" s="18" t="s">
        <v>728</v>
      </c>
    </row>
    <row r="663" spans="1:1">
      <c r="A663" s="18" t="s">
        <v>729</v>
      </c>
    </row>
    <row r="664" spans="1:1">
      <c r="A664" s="18" t="s">
        <v>730</v>
      </c>
    </row>
    <row r="665" spans="1:1">
      <c r="A665" s="18" t="s">
        <v>731</v>
      </c>
    </row>
    <row r="666" spans="1:1">
      <c r="A666" s="18" t="s">
        <v>732</v>
      </c>
    </row>
    <row r="667" spans="1:1">
      <c r="A667" s="18" t="s">
        <v>733</v>
      </c>
    </row>
    <row r="668" spans="1:1">
      <c r="A668" s="18" t="s">
        <v>734</v>
      </c>
    </row>
    <row r="669" spans="1:1">
      <c r="A669" s="18" t="s">
        <v>735</v>
      </c>
    </row>
    <row r="670" spans="1:1">
      <c r="A670" s="18" t="s">
        <v>736</v>
      </c>
    </row>
    <row r="671" spans="1:1">
      <c r="A671" s="18" t="s">
        <v>737</v>
      </c>
    </row>
    <row r="672" spans="1:1">
      <c r="A672" s="18" t="s">
        <v>738</v>
      </c>
    </row>
    <row r="673" spans="1:1">
      <c r="A673" s="18" t="s">
        <v>739</v>
      </c>
    </row>
    <row r="674" spans="1:1">
      <c r="A674" s="18" t="s">
        <v>740</v>
      </c>
    </row>
    <row r="675" spans="1:1">
      <c r="A675" s="18" t="s">
        <v>741</v>
      </c>
    </row>
    <row r="676" spans="1:1">
      <c r="A676" s="18" t="s">
        <v>742</v>
      </c>
    </row>
    <row r="677" spans="1:1">
      <c r="A677" s="18" t="s">
        <v>743</v>
      </c>
    </row>
    <row r="678" spans="1:1">
      <c r="A678" s="18" t="s">
        <v>744</v>
      </c>
    </row>
    <row r="679" spans="1:1">
      <c r="A679" s="18" t="s">
        <v>745</v>
      </c>
    </row>
    <row r="680" spans="1:1">
      <c r="A680" s="18" t="s">
        <v>746</v>
      </c>
    </row>
    <row r="681" spans="1:1">
      <c r="A681" s="18" t="s">
        <v>747</v>
      </c>
    </row>
    <row r="682" spans="1:1">
      <c r="A682" s="18" t="s">
        <v>748</v>
      </c>
    </row>
    <row r="683" spans="1:1">
      <c r="A683" s="18" t="s">
        <v>749</v>
      </c>
    </row>
    <row r="684" spans="1:1">
      <c r="A684" s="18" t="s">
        <v>750</v>
      </c>
    </row>
    <row r="685" spans="1:1">
      <c r="A685" s="18" t="s">
        <v>751</v>
      </c>
    </row>
    <row r="686" spans="1:1">
      <c r="A686" s="18" t="s">
        <v>752</v>
      </c>
    </row>
    <row r="687" spans="1:1">
      <c r="A687" s="18" t="s">
        <v>753</v>
      </c>
    </row>
    <row r="688" spans="1:1">
      <c r="A688" s="18" t="s">
        <v>754</v>
      </c>
    </row>
    <row r="689" spans="1:1">
      <c r="A689" s="18" t="s">
        <v>755</v>
      </c>
    </row>
    <row r="690" spans="1:1">
      <c r="A690" s="18" t="s">
        <v>756</v>
      </c>
    </row>
    <row r="691" spans="1:1">
      <c r="A691" s="18" t="s">
        <v>757</v>
      </c>
    </row>
    <row r="692" spans="1:1">
      <c r="A692" s="18" t="s">
        <v>758</v>
      </c>
    </row>
    <row r="693" spans="1:1">
      <c r="A693" s="18" t="s">
        <v>759</v>
      </c>
    </row>
    <row r="694" spans="1:1">
      <c r="A694" s="18" t="s">
        <v>760</v>
      </c>
    </row>
    <row r="695" spans="1:1">
      <c r="A695" s="18" t="s">
        <v>761</v>
      </c>
    </row>
    <row r="696" spans="1:1">
      <c r="A696" s="18" t="s">
        <v>762</v>
      </c>
    </row>
    <row r="697" spans="1:1">
      <c r="A697" s="18" t="s">
        <v>763</v>
      </c>
    </row>
    <row r="698" spans="1:1">
      <c r="A698" s="18" t="s">
        <v>764</v>
      </c>
    </row>
    <row r="699" spans="1:1">
      <c r="A699" s="18" t="s">
        <v>765</v>
      </c>
    </row>
    <row r="700" spans="1:1">
      <c r="A700" s="18" t="s">
        <v>766</v>
      </c>
    </row>
    <row r="701" spans="1:1">
      <c r="A701" s="18" t="s">
        <v>767</v>
      </c>
    </row>
    <row r="702" spans="1:1">
      <c r="A702" s="18" t="s">
        <v>768</v>
      </c>
    </row>
    <row r="703" spans="1:1">
      <c r="A703" s="18" t="s">
        <v>769</v>
      </c>
    </row>
    <row r="704" spans="1:1">
      <c r="A704" s="18" t="s">
        <v>770</v>
      </c>
    </row>
    <row r="705" spans="1:1">
      <c r="A705" s="18" t="s">
        <v>771</v>
      </c>
    </row>
    <row r="706" spans="1:1">
      <c r="A706" s="18" t="s">
        <v>772</v>
      </c>
    </row>
    <row r="707" spans="1:1">
      <c r="A707" s="18" t="s">
        <v>773</v>
      </c>
    </row>
    <row r="708" spans="1:1">
      <c r="A708" s="18" t="s">
        <v>774</v>
      </c>
    </row>
    <row r="709" spans="1:1">
      <c r="A709" s="18" t="s">
        <v>775</v>
      </c>
    </row>
    <row r="710" spans="1:1">
      <c r="A710" s="18" t="s">
        <v>776</v>
      </c>
    </row>
    <row r="711" spans="1:1">
      <c r="A711" s="18" t="s">
        <v>777</v>
      </c>
    </row>
    <row r="712" spans="1:1">
      <c r="A712" s="18" t="s">
        <v>778</v>
      </c>
    </row>
    <row r="713" spans="1:1">
      <c r="A713" s="18" t="s">
        <v>779</v>
      </c>
    </row>
    <row r="714" spans="1:1">
      <c r="A714" s="18" t="s">
        <v>780</v>
      </c>
    </row>
    <row r="715" spans="1:1">
      <c r="A715" s="18" t="s">
        <v>781</v>
      </c>
    </row>
    <row r="716" spans="1:1">
      <c r="A716" s="18" t="s">
        <v>782</v>
      </c>
    </row>
    <row r="717" spans="1:1">
      <c r="A717" s="18" t="s">
        <v>783</v>
      </c>
    </row>
    <row r="718" spans="1:1">
      <c r="A718" s="18" t="s">
        <v>784</v>
      </c>
    </row>
    <row r="719" spans="1:1">
      <c r="A719" s="18" t="s">
        <v>785</v>
      </c>
    </row>
    <row r="720" spans="1:1">
      <c r="A720" s="18" t="s">
        <v>786</v>
      </c>
    </row>
    <row r="721" spans="1:1">
      <c r="A721" s="18" t="s">
        <v>787</v>
      </c>
    </row>
    <row r="722" spans="1:1">
      <c r="A722" s="18" t="s">
        <v>788</v>
      </c>
    </row>
    <row r="723" spans="1:1">
      <c r="A723" s="18" t="s">
        <v>789</v>
      </c>
    </row>
    <row r="724" spans="1:1">
      <c r="A724" s="18" t="s">
        <v>790</v>
      </c>
    </row>
    <row r="725" spans="1:1">
      <c r="A725" s="18" t="s">
        <v>791</v>
      </c>
    </row>
    <row r="726" spans="1:1">
      <c r="A726" s="18" t="s">
        <v>792</v>
      </c>
    </row>
    <row r="727" spans="1:1">
      <c r="A727" s="18" t="s">
        <v>793</v>
      </c>
    </row>
    <row r="728" spans="1:1">
      <c r="A728" s="18" t="s">
        <v>794</v>
      </c>
    </row>
    <row r="729" spans="1:1">
      <c r="A729" s="18" t="s">
        <v>795</v>
      </c>
    </row>
    <row r="730" spans="1:1">
      <c r="A730" s="18" t="s">
        <v>795</v>
      </c>
    </row>
    <row r="731" spans="1:1">
      <c r="A731" s="18" t="s">
        <v>796</v>
      </c>
    </row>
    <row r="732" spans="1:1">
      <c r="A732" s="18" t="s">
        <v>797</v>
      </c>
    </row>
    <row r="733" spans="1:1">
      <c r="A733" s="18" t="s">
        <v>798</v>
      </c>
    </row>
    <row r="734" spans="1:1">
      <c r="A734" s="18" t="s">
        <v>799</v>
      </c>
    </row>
    <row r="735" spans="1:1">
      <c r="A735" s="18" t="s">
        <v>800</v>
      </c>
    </row>
    <row r="736" spans="1:1">
      <c r="A736" s="18" t="s">
        <v>801</v>
      </c>
    </row>
    <row r="737" spans="1:1">
      <c r="A737" s="18" t="s">
        <v>802</v>
      </c>
    </row>
    <row r="738" spans="1:1">
      <c r="A738" s="18" t="s">
        <v>803</v>
      </c>
    </row>
    <row r="739" spans="1:1">
      <c r="A739" s="18" t="s">
        <v>804</v>
      </c>
    </row>
    <row r="740" spans="1:1">
      <c r="A740" s="18" t="s">
        <v>805</v>
      </c>
    </row>
    <row r="741" spans="1:1">
      <c r="A741" s="18" t="s">
        <v>806</v>
      </c>
    </row>
    <row r="742" spans="1:1">
      <c r="A742" s="18" t="s">
        <v>807</v>
      </c>
    </row>
    <row r="743" spans="1:1">
      <c r="A743" s="18" t="s">
        <v>808</v>
      </c>
    </row>
    <row r="744" spans="1:1">
      <c r="A744" s="18" t="s">
        <v>809</v>
      </c>
    </row>
    <row r="745" spans="1:1">
      <c r="A745" s="18" t="s">
        <v>810</v>
      </c>
    </row>
    <row r="746" spans="1:1">
      <c r="A746" s="18" t="s">
        <v>811</v>
      </c>
    </row>
    <row r="747" spans="1:1">
      <c r="A747" s="18" t="s">
        <v>812</v>
      </c>
    </row>
    <row r="748" spans="1:1">
      <c r="A748" s="18" t="s">
        <v>813</v>
      </c>
    </row>
    <row r="749" spans="1:1">
      <c r="A749" s="18" t="s">
        <v>814</v>
      </c>
    </row>
    <row r="750" spans="1:1">
      <c r="A750" s="18" t="s">
        <v>815</v>
      </c>
    </row>
    <row r="751" spans="1:1">
      <c r="A751" s="18" t="s">
        <v>816</v>
      </c>
    </row>
    <row r="752" spans="1:1">
      <c r="A752" s="18" t="s">
        <v>817</v>
      </c>
    </row>
    <row r="753" spans="1:1">
      <c r="A753" s="18" t="s">
        <v>818</v>
      </c>
    </row>
    <row r="754" spans="1:1">
      <c r="A754" s="18" t="s">
        <v>819</v>
      </c>
    </row>
    <row r="755" spans="1:1">
      <c r="A755" s="18" t="s">
        <v>820</v>
      </c>
    </row>
    <row r="756" spans="1:1">
      <c r="A756" s="18" t="s">
        <v>821</v>
      </c>
    </row>
    <row r="757" spans="1:1">
      <c r="A757" s="18" t="s">
        <v>822</v>
      </c>
    </row>
    <row r="758" spans="1:1">
      <c r="A758" s="18" t="s">
        <v>823</v>
      </c>
    </row>
    <row r="759" spans="1:1">
      <c r="A759" s="18" t="s">
        <v>824</v>
      </c>
    </row>
    <row r="760" spans="1:1">
      <c r="A760" s="18" t="s">
        <v>825</v>
      </c>
    </row>
    <row r="761" spans="1:1">
      <c r="A761" s="18" t="s">
        <v>826</v>
      </c>
    </row>
    <row r="762" spans="1:1">
      <c r="A762" s="18" t="s">
        <v>827</v>
      </c>
    </row>
    <row r="763" spans="1:1">
      <c r="A763" s="18" t="s">
        <v>828</v>
      </c>
    </row>
    <row r="764" spans="1:1">
      <c r="A764" s="18" t="s">
        <v>829</v>
      </c>
    </row>
    <row r="765" spans="1:1">
      <c r="A765" s="18" t="s">
        <v>830</v>
      </c>
    </row>
    <row r="766" spans="1:1">
      <c r="A766" s="18" t="s">
        <v>831</v>
      </c>
    </row>
    <row r="767" spans="1:1">
      <c r="A767" s="18" t="s">
        <v>832</v>
      </c>
    </row>
    <row r="768" spans="1:1">
      <c r="A768" s="18" t="s">
        <v>833</v>
      </c>
    </row>
    <row r="769" spans="1:1">
      <c r="A769" s="18" t="s">
        <v>834</v>
      </c>
    </row>
    <row r="770" spans="1:1">
      <c r="A770" s="18" t="s">
        <v>835</v>
      </c>
    </row>
    <row r="771" spans="1:1">
      <c r="A771" s="18" t="s">
        <v>836</v>
      </c>
    </row>
    <row r="772" spans="1:1">
      <c r="A772" s="18" t="s">
        <v>837</v>
      </c>
    </row>
    <row r="773" spans="1:1">
      <c r="A773" s="18" t="s">
        <v>838</v>
      </c>
    </row>
    <row r="774" spans="1:1">
      <c r="A774" s="18" t="s">
        <v>839</v>
      </c>
    </row>
    <row r="775" spans="1:1">
      <c r="A775" s="18" t="s">
        <v>840</v>
      </c>
    </row>
    <row r="776" spans="1:1">
      <c r="A776" s="18" t="s">
        <v>841</v>
      </c>
    </row>
    <row r="777" spans="1:1">
      <c r="A777" s="18" t="s">
        <v>842</v>
      </c>
    </row>
    <row r="778" spans="1:1">
      <c r="A778" s="18" t="s">
        <v>843</v>
      </c>
    </row>
    <row r="779" spans="1:1">
      <c r="A779" s="18" t="s">
        <v>844</v>
      </c>
    </row>
    <row r="780" spans="1:1">
      <c r="A780" s="18" t="s">
        <v>845</v>
      </c>
    </row>
    <row r="781" spans="1:1">
      <c r="A781" s="18" t="s">
        <v>846</v>
      </c>
    </row>
    <row r="782" spans="1:1">
      <c r="A782" s="18" t="s">
        <v>847</v>
      </c>
    </row>
    <row r="783" spans="1:1">
      <c r="A783" s="18" t="s">
        <v>848</v>
      </c>
    </row>
    <row r="784" spans="1:1">
      <c r="A784" s="18" t="s">
        <v>849</v>
      </c>
    </row>
    <row r="785" spans="1:1">
      <c r="A785" s="18" t="s">
        <v>850</v>
      </c>
    </row>
    <row r="786" spans="1:1">
      <c r="A786" s="18" t="s">
        <v>851</v>
      </c>
    </row>
    <row r="787" spans="1:1">
      <c r="A787" s="18" t="s">
        <v>852</v>
      </c>
    </row>
    <row r="788" spans="1:1">
      <c r="A788" s="18" t="s">
        <v>853</v>
      </c>
    </row>
    <row r="789" spans="1:1">
      <c r="A789" s="18" t="s">
        <v>854</v>
      </c>
    </row>
    <row r="790" spans="1:1">
      <c r="A790" s="18" t="s">
        <v>855</v>
      </c>
    </row>
    <row r="791" spans="1:1">
      <c r="A791" s="18" t="s">
        <v>856</v>
      </c>
    </row>
    <row r="792" spans="1:1">
      <c r="A792" s="18" t="s">
        <v>857</v>
      </c>
    </row>
    <row r="793" spans="1:1">
      <c r="A793" s="18" t="s">
        <v>858</v>
      </c>
    </row>
    <row r="794" spans="1:1">
      <c r="A794" s="18" t="s">
        <v>859</v>
      </c>
    </row>
    <row r="795" spans="1:1">
      <c r="A795" s="18" t="s">
        <v>860</v>
      </c>
    </row>
    <row r="796" spans="1:1">
      <c r="A796" s="18" t="s">
        <v>861</v>
      </c>
    </row>
    <row r="797" spans="1:1">
      <c r="A797" s="18" t="s">
        <v>862</v>
      </c>
    </row>
    <row r="798" spans="1:1">
      <c r="A798" s="18" t="s">
        <v>863</v>
      </c>
    </row>
    <row r="799" spans="1:1">
      <c r="A799" s="18" t="s">
        <v>864</v>
      </c>
    </row>
    <row r="800" spans="1:1">
      <c r="A800" s="18" t="s">
        <v>865</v>
      </c>
    </row>
    <row r="801" spans="1:1">
      <c r="A801" s="18" t="s">
        <v>866</v>
      </c>
    </row>
    <row r="802" spans="1:1">
      <c r="A802" s="18" t="s">
        <v>868</v>
      </c>
    </row>
    <row r="803" spans="1:1">
      <c r="A803" s="18" t="s">
        <v>55</v>
      </c>
    </row>
    <row r="804" spans="1:1">
      <c r="A804" s="18" t="s">
        <v>46</v>
      </c>
    </row>
    <row r="805" spans="1:1">
      <c r="A805" s="18" t="s">
        <v>869</v>
      </c>
    </row>
    <row r="806" spans="1:1">
      <c r="A806" s="19" t="s">
        <v>947</v>
      </c>
    </row>
    <row r="808" spans="1:1">
      <c r="A808" s="18" t="s">
        <v>963</v>
      </c>
    </row>
    <row r="809" spans="1:1">
      <c r="A809" s="18" t="s">
        <v>1050</v>
      </c>
    </row>
    <row r="810" spans="1:1">
      <c r="A810" s="18" t="s">
        <v>1065</v>
      </c>
    </row>
    <row r="811" spans="1:1">
      <c r="A811" s="18" t="s">
        <v>1067</v>
      </c>
    </row>
    <row r="812" spans="1:1">
      <c r="A812" s="18" t="s">
        <v>1112</v>
      </c>
    </row>
    <row r="813" spans="1:1">
      <c r="A813" s="18" t="s">
        <v>1134</v>
      </c>
    </row>
    <row r="814" spans="1:1">
      <c r="A814" s="18" t="s">
        <v>1176</v>
      </c>
    </row>
    <row r="815" spans="1:1">
      <c r="A815" s="18" t="s">
        <v>1216</v>
      </c>
    </row>
    <row r="816" spans="1:1">
      <c r="A816" s="18" t="s">
        <v>1228</v>
      </c>
    </row>
    <row r="817" spans="1:1">
      <c r="A817" s="18" t="s">
        <v>1292</v>
      </c>
    </row>
    <row r="818" spans="1:1">
      <c r="A818" s="18" t="s">
        <v>1305</v>
      </c>
    </row>
    <row r="819" spans="1:1">
      <c r="A819" s="18" t="s">
        <v>1331</v>
      </c>
    </row>
    <row r="820" spans="1:1">
      <c r="A820" s="18" t="s">
        <v>976</v>
      </c>
    </row>
    <row r="821" spans="1:1">
      <c r="A821" s="18" t="s">
        <v>1361</v>
      </c>
    </row>
    <row r="822" spans="1:1">
      <c r="A822" s="18" t="s">
        <v>1382</v>
      </c>
    </row>
    <row r="823" spans="1:1">
      <c r="A823" s="18" t="s">
        <v>1386</v>
      </c>
    </row>
    <row r="824" spans="1:1">
      <c r="A824" s="18" t="s">
        <v>1387</v>
      </c>
    </row>
    <row r="825" spans="1:1">
      <c r="A825" s="18" t="s">
        <v>1404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Zakázky</vt:lpstr>
      <vt:lpstr>Poptávky</vt:lpstr>
      <vt:lpstr>MIVO</vt:lpstr>
      <vt:lpstr>Akce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Kučera</dc:creator>
  <cp:lastModifiedBy>Jaroslav Kučera</cp:lastModifiedBy>
  <dcterms:created xsi:type="dcterms:W3CDTF">2026-02-09T11:03:50Z</dcterms:created>
  <dcterms:modified xsi:type="dcterms:W3CDTF">2026-08-21T12:26:48Z</dcterms:modified>
</cp:coreProperties>
</file>